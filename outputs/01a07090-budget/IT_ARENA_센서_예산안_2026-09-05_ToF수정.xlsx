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2a771b5ee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 비교" sheetId="1" r:id="R9de1ad77f0aa41e3"/>
    <x:sheet xmlns:r="http://schemas.openxmlformats.org/officeDocument/2006/relationships" name="가격순 비교" sheetId="5" r:id="R9c151aa2677f464d"/>
    <x:sheet xmlns:r="http://schemas.openxmlformats.org/officeDocument/2006/relationships" name="스테레오 비교" sheetId="6" r:id="Ra469cd57786d4e23"/>
    <x:sheet xmlns:r="http://schemas.openxmlformats.org/officeDocument/2006/relationships" name="단가와 출처" sheetId="2" r:id="Re481bd4c9da4444e"/>
    <x:sheet xmlns:r="http://schemas.openxmlformats.org/officeDocument/2006/relationships" name="차체 견적 대조" sheetId="3" r:id="R7ecddf55fce04abb"/>
    <x:sheet xmlns:r="http://schemas.openxmlformats.org/officeDocument/2006/relationships" name="예산 조건" sheetId="4" r:id="R8c9a241c10b44db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"/>
  </x:numFmts>
  <x:fonts count="8">
    <x:font>
      <x:sz val="11"/>
      <x:name val="Carlito"/>
    </x:font>
    <x:font>
      <x:sz val="11"/>
      <x:color rgb="FF243247"/>
      <x:name val="Arial"/>
    </x:font>
    <x:font>
      <x:b/>
      <x:sz val="15"/>
      <x:color rgb="FF243247"/>
      <x:name val="Arial"/>
    </x:font>
    <x:font>
      <x:sz val="10"/>
      <x:color rgb="FF59677A"/>
      <x:name val="Arial"/>
    </x:font>
    <x:font>
      <x:b/>
      <x:sz val="11"/>
      <x:color rgb="FFFFFFFF"/>
      <x:name val="Arial"/>
    </x:font>
    <x:font>
      <x:b/>
      <x:sz val="16"/>
      <x:color rgb="FF243247"/>
      <x:name val="Arial"/>
    </x:font>
    <x:font>
      <x:sz val="9"/>
      <x:color rgb="FF59677A"/>
      <x:name val="Arial"/>
    </x:font>
    <x:font>
      <x:b/>
      <x:sz val="11"/>
      <x:color rgb="FF243247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E6EDF5"/>
      </x:patternFill>
    </x:fill>
    <x:fill>
      <x:patternFill patternType="solid">
        <x:fgColor rgb="FFF2F2F2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  <x:fill>
      <x:patternFill patternType="solid">
        <x:fgColor rgb="FFFFF1CD"/>
      </x:patternFill>
    </x:fill>
    <x:fill>
      <x:patternFill patternType="solid">
        <x:fgColor rgb="FF34445A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</x:fills>
  <x:borders count="1">
    <x:border/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200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200" fontId="1" fillId="22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200" fontId="1" fillId="23" borderId="0" xfId="0" applyNumberFormat="1" applyFont="1" applyFill="1" applyBorder="1" applyAlignment="1">
      <x:alignment vertical="center" wrapText="1"/>
    </x:xf>
    <x:xf numFmtId="200" fontId="1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8c3b1ceb64e36" /><Relationship Type="http://schemas.openxmlformats.org/officeDocument/2006/relationships/theme" Target="/xl/theme/theme1.xml" Id="Ra213bd6299db4f46" /><Relationship Type="http://schemas.openxmlformats.org/officeDocument/2006/relationships/sheetMetadata" Target="/xl/metadata1.xml" Id="Rfd4777eb3728417c" /><Relationship Type="http://schemas.openxmlformats.org/officeDocument/2006/relationships/sharedStrings" Target="/xl/sharedStrings.xml" Id="R6f960bf2486649fc" /><Relationship Type="http://schemas.openxmlformats.org/officeDocument/2006/relationships/worksheet" Target="/xl/worksheets/sheet1.xml" Id="R9de1ad77f0aa41e3" /><Relationship Type="http://schemas.openxmlformats.org/officeDocument/2006/relationships/worksheet" Target="/xl/worksheets/sheet2.xml" Id="Re481bd4c9da4444e" /><Relationship Type="http://schemas.openxmlformats.org/officeDocument/2006/relationships/worksheet" Target="/xl/worksheets/sheet3.xml" Id="R7ecddf55fce04abb" /><Relationship Type="http://schemas.openxmlformats.org/officeDocument/2006/relationships/worksheet" Target="/xl/worksheets/sheet4.xml" Id="R8c9a241c10b44db0" /><Relationship Type="http://schemas.openxmlformats.org/officeDocument/2006/relationships/worksheet" Target="/xl/worksheets/sheet5.xml" Id="R9c151aa2677f464d" /><Relationship Type="http://schemas.openxmlformats.org/officeDocument/2006/relationships/worksheet" Target="/xl/worksheets/sheet6.xml" Id="Ra469cd57786d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30000114440918" hidden="0" customWidth="1"/>
    <x:col min="2" max="2" width="35.630001068115234" hidden="0" customWidth="1"/>
    <x:col min="3" max="3" width="9" hidden="0" customWidth="1"/>
    <x:col min="4" max="4" width="14.75" hidden="0" customWidth="1"/>
    <x:col min="5" max="5" width="16" hidden="0" customWidth="1"/>
    <x:col min="6" max="6" width="16" hidden="0" customWidth="1"/>
    <x:col min="7" max="7" width="52.5" hidden="0" customWidth="1"/>
    <x:col min="8" max="8" width="15" hidden="0" customWidth="1"/>
    <x:col min="9" max="9" width="14.380000114440918" hidden="0" customWidth="1"/>
    <x:col min="10" max="10" width="14.380000114440918" hidden="0" customWidth="1"/>
  </x:cols>
  <x:sheetData>
    <x:row r="1" ht="43" customHeight="1">
      <x:c r="A1" s="35" t="str">
        <x:v>IT ARENA 센서 구성별 예산</x:v>
      </x:c>
      <x:c r="B1" s="3"/>
      <x:c r="C1" s="3"/>
      <x:c r="D1" s="3"/>
      <x:c r="E1" s="3"/>
      <x:c r="F1" s="3"/>
      <x:c r="G1" s="3"/>
      <x:c r="H1"/>
      <x:c r="I1"/>
      <x:c r="J1"/>
    </x:row>
    <x:row r="2" ht="37" customHeight="1">
      <x:c r="A2" s="36" t="str">
        <x:v>2026-09-06 갱신 · 9/5 단가 · 단위 원 · 20개 조합 · LiDAR 포함 ToF0 / RGB·스테레오 단독 ToF4 · * B0385 품절 · † OV2710의 60fps 프로필 미확인</x:v>
      </x:c>
      <x:c r="B2" s="3"/>
      <x:c r="C2" s="3"/>
      <x:c r="D2" s="3"/>
      <x:c r="E2" s="3"/>
      <x:c r="F2" s="3"/>
      <x:c r="G2" s="3"/>
      <x:c r="H2"/>
      <x:c r="I2"/>
      <x:c r="J2"/>
    </x:row>
    <x:row r="3" ht="16" customHeight="1">
      <x:c r="A3" s="3"/>
      <x:c r="B3" s="3"/>
      <x:c r="C3" s="3"/>
      <x:c r="D3" s="3"/>
      <x:c r="E3" s="3"/>
      <x:c r="F3" s="3"/>
      <x:c r="G3" s="3"/>
      <x:c r="H3"/>
      <x:c r="I3"/>
      <x:c r="J3"/>
    </x:row>
    <x:row r="4" ht="40" customHeight="1">
      <x:c r="A4" s="60" t="str">
        <x:v>안</x:v>
      </x:c>
      <x:c r="B4" s="60" t="str">
        <x:v>센서 구성</x:v>
      </x:c>
      <x:c r="C4" s="60" t="str">
        <x:v>ToF 수량</x:v>
      </x:c>
      <x:c r="D4" s="60" t="str">
        <x:v>센서 합계</x:v>
      </x:c>
      <x:c r="E4" s="60" t="str">
        <x:v>차체 35만 합산</x:v>
      </x:c>
      <x:c r="F4" s="60" t="str">
        <x:v>차체 40만 합산</x:v>
      </x:c>
      <x:c r="G4" s="60" t="str">
        <x:v>코멘트</x:v>
      </x:c>
      <x:c r="H4"/>
      <x:c r="I4"/>
      <x:c r="J4"/>
    </x:row>
    <x:row r="5" ht="82" customHeight="1">
      <x:c r="A5" s="61" t="str">
        <x:v>B-4</x:v>
      </x:c>
      <x:c r="B5" s="61" t="str">
        <x:v>보유 D435i + ToF 4</x:v>
      </x:c>
      <x:c r="C5" s="57" t="n">
        <x:v>4</x:v>
      </x:c>
      <x:c r="D5" s="65" t="n">
        <x:f>C5*'단가와 출처'!$B$5</x:f>
        <x:v>140800</x:v>
      </x:c>
      <x:c r="E5" s="62" t="n">
        <x:f>D5+'차체 견적 대조'!$F$27</x:f>
        <x:v>490800</x:v>
      </x:c>
      <x:c r="F5" s="62" t="n">
        <x:f>D5+'차체 견적 대조'!$F$28</x:f>
        <x:v>540800</x:v>
      </x:c>
      <x:c r="G5" s="61" t="str">
        <x:v>재사용 허용 시 지출 최소. IR 탑재. 보유품의 규정 평가액은 별도이며 RGB는 롤링 셔터입니다. ToF4는 좌우 측면 보완용. 무사각 보증은 아님.</x:v>
      </x:c>
      <x:c r="H5"/>
      <x:c r="I5"/>
      <x:c r="J5"/>
    </x:row>
    <x:row r="6" ht="82" customHeight="1">
      <x:c r="A6" s="63" t="str">
        <x:v>RV-4</x:v>
      </x:c>
      <x:c r="B6" s="63" t="str">
        <x:v>OV2710 RGB 단독† + ToF 4</x:v>
      </x:c>
      <x:c r="C6" s="57" t="n">
        <x:v>4</x:v>
      </x:c>
      <x:c r="D6" s="65" t="n">
        <x:f>'단가와 출처'!$B$22+C6*'단가와 출처'!$B$5</x:f>
        <x:v>204160</x:v>
      </x:c>
      <x:c r="E6" s="64" t="n">
        <x:f>D6+'차체 견적 대조'!$F$27</x:f>
        <x:v>554160</x:v>
      </x:c>
      <x:c r="F6" s="64" t="n">
        <x:f>D6+'차체 견적 대조'!$F$28</x:f>
        <x:v>604160</x:v>
      </x:c>
      <x:c r="G6" s="63" t="str">
        <x:v>국내 저가 RGB 주행안. RGB로 노면·경로·마커를 인식하고 측면 ToF로 근접 간격을 감시합니다. 720p60 출력은 미확인. 전방 앞차 가림·깊이 없는 거리 판단을 검증해야 합니다. ToF4는 좌우 측면 보완용. 무사각 보증은 아님.</x:v>
      </x:c>
      <x:c r="H6"/>
      <x:c r="I6"/>
      <x:c r="J6"/>
    </x:row>
    <x:row r="7" ht="82" customHeight="1">
      <x:c r="A7" s="61" t="str">
        <x:v>RA-4</x:v>
      </x:c>
      <x:c r="B7" s="61" t="str">
        <x:v>B0385 RGB 단독* + ToF 4</x:v>
      </x:c>
      <x:c r="C7" s="57" t="n">
        <x:v>4</x:v>
      </x:c>
      <x:c r="D7" s="65" t="n">
        <x:f>'단가와 출처'!$B$12+C7*'단가와 출처'!$B$5</x:f>
        <x:v>237160</x:v>
      </x:c>
      <x:c r="E7" s="62" t="n">
        <x:f>D7+'차체 견적 대조'!$F$27</x:f>
        <x:v>587160</x:v>
      </x:c>
      <x:c r="F7" s="62" t="n">
        <x:f>D7+'차체 견적 대조'!$F$28</x:f>
        <x:v>637160</x:v>
      </x:c>
      <x:c r="G7" s="61" t="str">
        <x:v>글로벌 셔터 RGB 주행안. 사용자120fps 경험이 있으나 당시 프로필은 미확인, 국내 품절 비교가입니다. 측면 ToF4 밖의 전방·후방 관측 공백은 별도 검토합니다. ToF4는 좌우 측면 보완용. 무사각 보증은 아님.</x:v>
      </x:c>
      <x:c r="H7"/>
      <x:c r="I7"/>
      <x:c r="J7"/>
    </x:row>
    <x:row r="8" ht="82" customHeight="1">
      <x:c r="A8" s="63" t="str">
        <x:v>L1v-0</x:v>
      </x:c>
      <x:c r="B8" s="63" t="str">
        <x:v>C1 + OV2710† / ToF 없음</x:v>
      </x:c>
      <x:c r="C8" s="57" t="n">
        <x:v>0</x:v>
      </x:c>
      <x:c r="D8" s="65" t="n">
        <x:f>'단가와 출처'!$B$6+'단가와 출처'!$B$22+C8*'단가와 출처'!$B$5</x:f>
        <x:v>162360</x:v>
      </x:c>
      <x:c r="E8" s="64" t="n">
        <x:f>D8+'차체 견적 대조'!$F$27</x:f>
        <x:v>512360</x:v>
      </x:c>
      <x:c r="F8" s="64" t="n">
        <x:f>D8+'차체 견적 대조'!$F$28</x:f>
        <x:v>562360</x:v>
      </x:c>
      <x:c r="G8" s="63" t="str">
        <x:v>저가 RGB 주행 후보로도 검토. RGB가 경로를 찾고 낮은C1이 근접을 감시할 수 있습니다. RGB720p60은 미확인. 경로 가림과10Hz 반응·차체 가림 검증이 필요합니다. 저상 수평층 개방 배치 검토.</x:v>
      </x:c>
      <x:c r="H8"/>
      <x:c r="I8"/>
      <x:c r="J8"/>
    </x:row>
    <x:row r="9" ht="82" customHeight="1">
      <x:c r="A9" s="61" t="str">
        <x:v>L1-0</x:v>
      </x:c>
      <x:c r="B9" s="61" t="str">
        <x:v>C1 + B0385* / ToF 없음</x:v>
      </x:c>
      <x:c r="C9" s="57" t="n">
        <x:v>0</x:v>
      </x:c>
      <x:c r="D9" s="65" t="n">
        <x:f>'단가와 출처'!$B$6+'단가와 출처'!$B$12+C9*'단가와 출처'!$B$5</x:f>
        <x:v>195360</x:v>
      </x:c>
      <x:c r="E9" s="62" t="n">
        <x:f>D9+'차체 견적 대조'!$F$27</x:f>
        <x:v>545360</x:v>
      </x:c>
      <x:c r="F9" s="62" t="n">
        <x:f>D9+'차체 견적 대조'!$F$28</x:f>
        <x:v>595360</x:v>
      </x:c>
      <x:c r="G9" s="61" t="str">
        <x:v>글로벌 셔터 RGB 주행 후보로도 검토. RGB 경로 인식·낮은C1 근접 감시의 역할 분리가 가능하나 B0385는 국내 품절 비교가입니다. 10Hz 반응·가림 검증 필요. 저상 수평층 개방 배치 검토.</x:v>
      </x:c>
      <x:c r="H9"/>
      <x:c r="I9"/>
      <x:c r="J9"/>
    </x:row>
    <x:row r="10" ht="82" customHeight="1">
      <x:c r="A10" s="63" t="str">
        <x:v>L2-0</x:v>
      </x:c>
      <x:c r="B10" s="63" t="str">
        <x:v>C1 + 보유 D435i / ToF 없음</x:v>
      </x:c>
      <x:c r="C10" s="57" t="n">
        <x:v>0</x:v>
      </x:c>
      <x:c r="D10" s="65" t="n">
        <x:f>'단가와 출처'!$B$6+C10*'단가와 출처'!$B$5</x:f>
        <x:v>99000</x:v>
      </x:c>
      <x:c r="E10" s="64" t="n">
        <x:f>D10+'차체 견적 대조'!$F$27</x:f>
        <x:v>449000</x:v>
      </x:c>
      <x:c r="F10" s="64" t="n">
        <x:f>D10+'차체 견적 대조'!$F$28</x:f>
        <x:v>499000</x:v>
      </x:c>
      <x:c r="G10" s="63" t="str">
        <x:v>재사용 허용 시 저비용 혼합안. 전방 RGB-D로 조향하고 낮은 C1으로 근접 차량을 감시합니다. C1은 조향용이 아니며 10Hz 충돌 회피 성능은 미검증입니다. 저상 수평층 개방 배치 검토.</x:v>
      </x:c>
      <x:c r="H10"/>
      <x:c r="I10"/>
      <x:c r="J10"/>
    </x:row>
    <x:row r="11" ht="82" customHeight="1">
      <x:c r="A11" s="61" t="str">
        <x:v>S2-4</x:v>
      </x:c>
      <x:c r="B11" s="61" t="str">
        <x:v>OAK-D Lite FF + ToF 4</x:v>
      </x:c>
      <x:c r="C11" s="57" t="n">
        <x:v>4</x:v>
      </x:c>
      <x:c r="D11" s="65" t="n">
        <x:f>'단가와 출처'!$B$7+C11*'단가와 출처'!$B$5</x:f>
        <x:v>525701</x:v>
      </x:c>
      <x:c r="E11" s="62" t="n">
        <x:f>D11+'차체 견적 대조'!$F$27</x:f>
        <x:v>875701</x:v>
      </x:c>
      <x:c r="F11" s="62" t="n">
        <x:f>D11+'차체 견적 대조'!$F$28</x:f>
        <x:v>925701</x:v>
      </x:c>
      <x:c r="G11" s="61" t="str">
        <x:v>저가 조건부 안. IR 프로젝터 없음, 깊이용 입력 480p, RGB 최대35fps. 무늬 적은 노면의 깊이 시험이 선행되어야 합니다. ToF4는 좌우 측면 보완용. 무사각 보증은 아님.</x:v>
      </x:c>
      <x:c r="H11"/>
      <x:c r="I11"/>
      <x:c r="J11"/>
    </x:row>
    <x:row r="12" ht="82" customHeight="1">
      <x:c r="A12" s="63" t="str">
        <x:v>SG2-4</x:v>
      </x:c>
      <x:c r="B12" s="63" t="str">
        <x:v>Gemini 2 + ToF 4</x:v>
      </x:c>
      <x:c r="C12" s="57" t="n">
        <x:v>4</x:v>
      </x:c>
      <x:c r="D12" s="65" t="n">
        <x:f>'단가와 출처'!$B$24+C12*'단가와 출처'!$B$5</x:f>
        <x:v>595100</x:v>
      </x:c>
      <x:c r="E12" s="64" t="n">
        <x:f>D12+'차체 견적 대조'!$F$27</x:f>
        <x:v>945100</x:v>
      </x:c>
      <x:c r="F12" s="64" t="n">
        <x:f>D12+'차체 견적 대조'!$F$28</x:f>
        <x:v>995100</x:v>
      </x:c>
      <x:c r="G12" s="63" t="str">
        <x:v>저가 IR 탑재안. 실내 우선 모델입니다. Gemini335보다 51,700원 저렴하므로 절감액과 처리 프로필을 함께 비교합니다. ToF4는 좌우 측면 보완용. 무사각 보증은 아님.</x:v>
      </x:c>
      <x:c r="H12"/>
      <x:c r="I12"/>
      <x:c r="J12"/>
    </x:row>
    <x:row r="13" ht="82" customHeight="1">
      <x:c r="A13" s="61" t="str">
        <x:v>S3-4</x:v>
      </x:c>
      <x:c r="B13" s="61" t="str">
        <x:v>Gemini 335 + ToF 4</x:v>
      </x:c>
      <x:c r="C13" s="57" t="n">
        <x:v>4</x:v>
      </x:c>
      <x:c r="D13" s="65" t="n">
        <x:f>'단가와 출처'!$B$8+C13*'단가와 출처'!$B$5</x:f>
        <x:v>646800</x:v>
      </x:c>
      <x:c r="E13" s="62" t="n">
        <x:f>D13+'차체 견적 대조'!$F$27</x:f>
        <x:v>996800</x:v>
      </x:c>
      <x:c r="F13" s="62" t="n">
        <x:f>D13+'차체 견적 대조'!$F$28</x:f>
        <x:v>1046800</x:v>
      </x:c>
      <x:c r="G13" s="61" t="str">
        <x:v>신규 가성비 우선 후보. IR·능동/수동 깊이와 848×480@60fps 프로필이 장점입니다. RGB는 롤링 셔터입니다. ToF4는 좌우 측면 보완용. 무사각 보증은 아님.</x:v>
      </x:c>
      <x:c r="H13"/>
      <x:c r="I13"/>
      <x:c r="J13"/>
    </x:row>
    <x:row r="14" ht="82" customHeight="1">
      <x:c r="A14" s="63" t="str">
        <x:v>SG335L-4</x:v>
      </x:c>
      <x:c r="B14" s="63" t="str">
        <x:v>Gemini 335L + ToF 4</x:v>
      </x:c>
      <x:c r="C14" s="57" t="n">
        <x:v>4</x:v>
      </x:c>
      <x:c r="D14" s="65" t="n">
        <x:f>'단가와 출처'!$B$25+C14*'단가와 출처'!$B$5</x:f>
        <x:v>745800</x:v>
      </x:c>
      <x:c r="E14" s="64" t="n">
        <x:f>D14+'차체 견적 대조'!$F$27</x:f>
        <x:v>1095800</x:v>
      </x:c>
      <x:c r="F14" s="64" t="n">
        <x:f>D14+'차체 견적 대조'!$F$28</x:f>
        <x:v>1145800</x:v>
      </x:c>
      <x:c r="G14" s="63" t="str">
        <x:v>RGB 1280×800@60fps 글로벌 셔터가 장점. 깊이848×480의 최소거리는34cm로 D436의19.5cm보다 깁니다. 17cm는 저해상도 조건입니다. ToF4는 좌우 측면 보완용. 무사각 보증은 아님.</x:v>
      </x:c>
      <x:c r="H14"/>
      <x:c r="I14"/>
      <x:c r="J14"/>
    </x:row>
    <x:row r="15" ht="82" customHeight="1">
      <x:c r="A15" s="61" t="str">
        <x:v>S4-4</x:v>
      </x:c>
      <x:c r="B15" s="61" t="str">
        <x:v>신규 D435i + ToF 4</x:v>
      </x:c>
      <x:c r="C15" s="57" t="n">
        <x:v>4</x:v>
      </x:c>
      <x:c r="D15" s="65" t="n">
        <x:f>'단가와 출처'!$B$9+C15*'단가와 출처'!$B$5</x:f>
        <x:v>703800</x:v>
      </x:c>
      <x:c r="E15" s="62" t="n">
        <x:f>D15+'차체 견적 대조'!$F$27</x:f>
        <x:v>1053800</x:v>
      </x:c>
      <x:c r="F15" s="62" t="n">
        <x:f>D15+'차체 견적 대조'!$F$28</x:f>
        <x:v>1103800</x:v>
      </x:c>
      <x:c r="G15" s="61" t="str">
        <x:v>보유품과 같은 개발 환경이 장점입니다. 표시가가 D436과34,000원 차이여서 신규 구매 우선순위는 낮습니다. VAT 확인. ToF4는 좌우 측면 보완용. 무사각 보증은 아님.</x:v>
      </x:c>
      <x:c r="H15"/>
      <x:c r="I15"/>
      <x:c r="J15"/>
    </x:row>
    <x:row r="16" ht="82" customHeight="1">
      <x:c r="A16" s="63" t="str">
        <x:v>S5-4</x:v>
      </x:c>
      <x:c r="B16" s="63" t="str">
        <x:v>D436 + ToF 4</x:v>
      </x:c>
      <x:c r="C16" s="57" t="n">
        <x:v>4</x:v>
      </x:c>
      <x:c r="D16" s="65" t="n">
        <x:f>'단가와 출처'!$B$10+C16*'단가와 출처'!$B$5</x:f>
        <x:v>737800</x:v>
      </x:c>
      <x:c r="E16" s="64" t="n">
        <x:f>D16+'차체 견적 대조'!$F$27</x:f>
        <x:v>1087800</x:v>
      </x:c>
      <x:c r="F16" s="64" t="n">
        <x:f>D16+'차체 견적 대조'!$F$28</x:f>
        <x:v>1137800</x:v>
      </x:c>
      <x:c r="G16" s="63" t="str">
        <x:v>근접 깊이·기존 RealSense 작업 활용 우선 후보. RGB 글로벌 셔터, 상세 표의60fps는848×480입니다. 상품 최대1280×800의fps 조합은 미확인. VAT 확인. ToF4는 좌우 측면 보완용. 무사각 보증은 아님.</x:v>
      </x:c>
      <x:c r="H16"/>
      <x:c r="I16"/>
      <x:c r="J16"/>
    </x:row>
    <x:row r="17" ht="82" customHeight="1">
      <x:c r="A17" s="61" t="str">
        <x:v>SD455-4</x:v>
      </x:c>
      <x:c r="B17" s="61" t="str">
        <x:v>D455 + ToF 4</x:v>
      </x:c>
      <x:c r="C17" s="57" t="n">
        <x:v>4</x:v>
      </x:c>
      <x:c r="D17" s="65" t="n">
        <x:f>'단가와 출처'!$B$28+C17*'단가와 출처'!$B$5</x:f>
        <x:v>850800</x:v>
      </x:c>
      <x:c r="E17" s="62" t="n">
        <x:f>D17+'차체 견적 대조'!$F$27</x:f>
        <x:v>1200800</x:v>
      </x:c>
      <x:c r="F17" s="62" t="n">
        <x:f>D17+'차체 견적 대조'!$F$28</x:f>
        <x:v>1250800</x:v>
      </x:c>
      <x:c r="G17" s="61" t="str">
        <x:v>원거리 비교안. RGB 글로벌 셔터1280×800@30fps, 저해상도640×360@90fps. 깊이848×480 최소35cm로 근접 관측 조건 확인. VAT 확인. ToF4는 좌우 측면 보완용. 무사각 보증은 아님.</x:v>
      </x:c>
      <x:c r="H17"/>
      <x:c r="I17"/>
      <x:c r="J17"/>
    </x:row>
    <x:row r="18" ht="82" customHeight="1">
      <x:c r="A18" s="63" t="str">
        <x:v>SO2-4</x:v>
      </x:c>
      <x:c r="B18" s="63" t="str">
        <x:v>OAK-D S2 FF + ToF 4</x:v>
      </x:c>
      <x:c r="C18" s="57" t="n">
        <x:v>4</x:v>
      </x:c>
      <x:c r="D18" s="65" t="n">
        <x:f>'단가와 출처'!$B$26+C18*'단가와 출처'!$B$5</x:f>
        <x:v>789800</x:v>
      </x:c>
      <x:c r="E18" s="64" t="n">
        <x:f>D18+'차체 견적 대조'!$F$27</x:f>
        <x:v>1139800</x:v>
      </x:c>
      <x:c r="F18" s="64" t="n">
        <x:f>D18+'차체 견적 대조'!$F$28</x:f>
        <x:v>1189800</x:v>
      </x:c>
      <x:c r="G18" s="63" t="str">
        <x:v>800p 스테레오 입력의 OAK 비교안. IR 프로젝터가 없어 Lite의 무늬 부족 문제를 해결하는 업그레이드는 아닙니다. ToF4는 좌우 측면 보완용. 무사각 보증은 아님.</x:v>
      </x:c>
      <x:c r="H18"/>
      <x:c r="I18"/>
      <x:c r="J18"/>
    </x:row>
    <x:row r="19" ht="82" customHeight="1">
      <x:c r="A19" s="61" t="str">
        <x:v>SOP-4</x:v>
      </x:c>
      <x:c r="B19" s="61" t="str">
        <x:v>OAK-D Pro FF / IMX378 + ToF 4</x:v>
      </x:c>
      <x:c r="C19" s="57" t="n">
        <x:v>4</x:v>
      </x:c>
      <x:c r="D19" s="65" t="n">
        <x:f>'단가와 출처'!$B$27+C19*'단가와 출처'!$B$5</x:f>
        <x:v>993300</x:v>
      </x:c>
      <x:c r="E19" s="62" t="n">
        <x:f>D19+'차체 견적 대조'!$F$27</x:f>
        <x:v>1343300</x:v>
      </x:c>
      <x:c r="F19" s="62" t="n">
        <x:f>D19+'차체 견적 대조'!$F$28</x:f>
        <x:v>1393300</x:v>
      </x:c>
      <x:c r="G19" s="61" t="str">
        <x:v>IR 점무늬·투광기와 장치 내 처리가 필요한 상위 OAK안. RGB는 롤링 셔터입니다. 전원·가격을 고려하면 회의 본문 우선순위는 낮습니다. ToF4는 좌우 측면 보완용. 무사각 보증은 아님.</x:v>
      </x:c>
      <x:c r="H19"/>
      <x:c r="I19"/>
      <x:c r="J19"/>
    </x:row>
    <x:row r="20" ht="82" customHeight="1">
      <x:c r="A20" s="63" t="str">
        <x:v>SOPG-4</x:v>
      </x:c>
      <x:c r="B20" s="63" t="str">
        <x:v>OAK-D Pro FF-97 / OV9782 + ToF 4</x:v>
      </x:c>
      <x:c r="C20" s="57" t="n">
        <x:v>4</x:v>
      </x:c>
      <x:c r="D20" s="65" t="n">
        <x:f>'단가와 출처'!$B$29+C20*'단가와 출처'!$B$5</x:f>
        <x:v>1086800</x:v>
      </x:c>
      <x:c r="E20" s="64" t="n">
        <x:f>D20+'차체 견적 대조'!$F$27</x:f>
        <x:v>1436800</x:v>
      </x:c>
      <x:c r="F20" s="64" t="n">
        <x:f>D20+'차체 견적 대조'!$F$28</x:f>
        <x:v>1486800</x:v>
      </x:c>
      <x:c r="G20" s="63" t="str">
        <x:v>IR과 RGB 글로벌 셔터를 모두 갖춘 상위 OAK안. 고속 RGB 센서 입력이 깊이·인식 처리율을 뜻하지 않으며 추가 비용이 큽니다. ToF4는 좌우 측면 보완용. 무사각 보증은 아님.</x:v>
      </x:c>
      <x:c r="H20"/>
      <x:c r="I20"/>
      <x:c r="J20"/>
    </x:row>
    <x:row r="21" ht="82" customHeight="1">
      <x:c r="A21" s="61" t="str">
        <x:v>L3v-0</x:v>
      </x:c>
      <x:c r="B21" s="61" t="str">
        <x:v>RPLIDAR S3 20Hz + OV2710† / ToF 없음</x:v>
      </x:c>
      <x:c r="C21" s="57" t="n">
        <x:v>0</x:v>
      </x:c>
      <x:c r="D21" s="65" t="n">
        <x:f>'단가와 출처'!$B$11+'단가와 출처'!$B$22+C21*'단가와 출처'!$B$5</x:f>
        <x:v>802560</x:v>
      </x:c>
      <x:c r="E21" s="62" t="n">
        <x:f>D21+'차체 견적 대조'!$F$27</x:f>
        <x:v>1152560</x:v>
      </x:c>
      <x:c r="F21" s="62" t="n">
        <x:f>D21+'차체 견적 대조'!$F$28</x:f>
        <x:v>1202560</x:v>
      </x:c>
      <x:c r="G21" s="61" t="str">
        <x:v>빠른 회전 LiDAR 비교안. 20Hz는 S3 지원 범위의 상단이며 설정·실효 스캔을 확인해야 합니다. RGB60fps 조건도 미확인입니다. 저상 수평층 개방 배치 검토.</x:v>
      </x:c>
      <x:c r="H21"/>
      <x:c r="I21"/>
      <x:c r="J21"/>
    </x:row>
    <x:row r="22" ht="82" customHeight="1">
      <x:c r="A22" s="63" t="str">
        <x:v>L3-0</x:v>
      </x:c>
      <x:c r="B22" s="63" t="str">
        <x:v>RPLIDAR S3 20Hz + B0385* / ToF 없음</x:v>
      </x:c>
      <x:c r="C22" s="57" t="n">
        <x:v>0</x:v>
      </x:c>
      <x:c r="D22" s="65" t="n">
        <x:f>'단가와 출처'!$B$11+'단가와 출처'!$B$12+C22*'단가와 출처'!$B$5</x:f>
        <x:v>835560</x:v>
      </x:c>
      <x:c r="E22" s="64" t="n">
        <x:f>D22+'차체 견적 대조'!$F$27</x:f>
        <x:v>1185560</x:v>
      </x:c>
      <x:c r="F22" s="64" t="n">
        <x:f>D22+'차체 견적 대조'!$F$28</x:f>
        <x:v>1235560</x:v>
      </x:c>
      <x:c r="G22" s="63" t="str">
        <x:v>빠른 회전 LiDAR와 글로벌 셔터 RGB 비교안. B0385는 품절이며 실제 스캔·영상 지연 검증이 필요합니다. 저상 수평층 개방 배치 검토.</x:v>
      </x:c>
      <x:c r="H22"/>
      <x:c r="I22"/>
      <x:c r="J22"/>
    </x:row>
    <x:row r="23" ht="82" customHeight="1">
      <x:c r="A23" s="61" t="str">
        <x:v>H-0</x:v>
      </x:c>
      <x:c r="B23" s="61" t="str">
        <x:v>D436 + C1 / ToF 없음</x:v>
      </x:c>
      <x:c r="C23" s="57" t="n">
        <x:v>0</x:v>
      </x:c>
      <x:c r="D23" s="65" t="n">
        <x:f>'단가와 출처'!$B$10+'단가와 출처'!$B$6+C23*'단가와 출처'!$B$5</x:f>
        <x:v>696000</x:v>
      </x:c>
      <x:c r="E23" s="62" t="n">
        <x:f>D23+'차체 견적 대조'!$F$27</x:f>
        <x:v>1046000</x:v>
      </x:c>
      <x:c r="F23" s="62" t="n">
        <x:f>D23+'차체 견적 대조'!$F$28</x:f>
        <x:v>1096000</x:v>
      </x:c>
      <x:c r="G23" s="61" t="str">
        <x:v>신규 혼합 우선 검토안. 전방 RGB-D 조향, 낮은 C1 근접 감시. ToF를 생략해 D436+ToF4보다41,800원 저렴합니다. 10Hz·차체/바퀴 가림 시험 및 VAT 확인. 저상 수평층 개방 배치 검토.</x:v>
      </x:c>
      <x:c r="H23"/>
      <x:c r="I23"/>
      <x:c r="J23"/>
    </x:row>
    <x:row r="24" ht="82" customHeight="1">
      <x:c r="A24" s="63" t="str">
        <x:v>Hfast-0</x:v>
      </x:c>
      <x:c r="B24" s="63" t="str">
        <x:v>D436 + RPLIDAR S3 20Hz / ToF 없음</x:v>
      </x:c>
      <x:c r="C24" s="57" t="n">
        <x:v>0</x:v>
      </x:c>
      <x:c r="D24" s="65" t="n">
        <x:f>'단가와 출처'!$B$10+'단가와 출처'!$B$11+C24*'단가와 출처'!$B$5</x:f>
        <x:v>1336200</x:v>
      </x:c>
      <x:c r="E24" s="64" t="n">
        <x:f>D24+'차체 견적 대조'!$F$27</x:f>
        <x:v>1686200</x:v>
      </x:c>
      <x:c r="F24" s="64" t="n">
        <x:f>D24+'차체 견적 대조'!$F$28</x:f>
        <x:v>1736200</x:v>
      </x:c>
      <x:c r="G24" s="63" t="str">
        <x:v>예산 제한이 없을 때 우선 시험할 혼합안. 전방 RGB-D 조향, 낮은 S3 근접 감시. C1보다640,200원 높으며 20Hz에서 각 간격0.225°. 가림·최종 지연·VAT 확인. 저상 수평층 개방 배치 검토.</x:v>
      </x:c>
      <x:c r="H24"/>
      <x:c r="I24"/>
      <x:c r="J24"/>
    </x:row>
    <x:row r="25" ht="55" customHeight="1">
      <x:c r="A25" s="3" t="str">
        <x:v>추천 기준</x:v>
      </x:c>
      <x:c r="B25" s="3" t="str">
        <x:v>RGB 주행+근접 센서도 기본안 후보입니다. 깊이가 필요하면 가성비Gemini335, 근접 깊이·기존 개발 활용D436, RGB800p60은335L을 비교합니다. D436+C1은 확장안이며 깊이카메라를 필수 전제로 두지 않습니다.</x:v>
      </x:c>
      <x:c r="C25" s="3"/>
      <x:c r="D25" s="3"/>
      <x:c r="E25" s="3"/>
      <x:c r="F25" s="3"/>
      <x:c r="G25" s="3"/>
      <x:c r="H25"/>
      <x:c r="I25"/>
      <x:c r="J25"/>
    </x:row>
    <x:row r="26" ht="55" customHeight="1">
      <x:c r="A26" s="3" t="str">
        <x:v>IR의 역할</x:v>
      </x:c>
      <x:c r="B26" s="3" t="str">
        <x:v>IR 점무늬는 무늬 적은 표면의깊이 대응점 찾기를 돕습니다. Lite·일반 S2에는 없으며 추가 ToF가 그 기능을 대신하지 않습니다. 현장 효과는 표면·조명·거리별 시험이 필요합니다.</x:v>
      </x:c>
      <x:c r="C26" s="3"/>
      <x:c r="D26" s="3"/>
      <x:c r="E26" s="3"/>
      <x:c r="F26" s="3"/>
      <x:c r="G26" s="3"/>
      <x:c r="H26"/>
      <x:c r="I26"/>
      <x:c r="J26"/>
    </x:row>
    <x:row r="27" ht="55" customHeight="1">
      <x:c r="A27" s="3" t="str">
        <x:v>촬영 조건</x:v>
      </x:c>
      <x:c r="B27" s="3" t="str">
        <x:v>스테레오 비교에서 RGB 셔터·깊이 프로필을 구분합니다. 최대 센서 입력 fps는 깊이·RGB·인식 알고리즘의 동시 처리율을 보증하지 않습니다.</x:v>
      </x:c>
      <x:c r="C27" s="3"/>
      <x:c r="D27" s="3"/>
      <x:c r="E27" s="3"/>
      <x:c r="F27" s="3"/>
      <x:c r="G27" s="3"/>
      <x:c r="H27"/>
      <x:c r="I27"/>
      <x:c r="J27"/>
    </x:row>
    <x:row r="28" ht="55" customHeight="1">
      <x:c r="A28" s="3" t="str">
        <x:v>세금·배송</x:v>
      </x:c>
      <x:c r="B28" s="3" t="str">
        <x:v>D435i/D436/D455는 VAT 포함 미확인 표시가입니다. 별도 부가세라면 단가의10%가 증가합니다. 배송비는 합계 제외. 모든 후보의 주문 시 재고·납기를 확인합니다.</x:v>
      </x:c>
      <x:c r="C28" s="3"/>
      <x:c r="D28" s="3"/>
      <x:c r="E28" s="3"/>
      <x:c r="F28" s="3"/>
      <x:c r="G28" s="3"/>
      <x:c r="H28"/>
      <x:c r="I28"/>
      <x:c r="J28"/>
    </x:row>
    <x:row r="29" ht="55" customHeight="1">
      <x:c r="A29" s="3" t="str">
        <x:v>구매비 범위</x:v>
      </x:c>
      <x:c r="B29" s="3" t="str">
        <x:v>센서 단가×수량만 계산합니다. 보유 D435i의 신규 지출은0원이며 규정 평가액은 미정입니다. ESP32-S3는 보드·담당 예산 미정으로 제외합니다.</x:v>
      </x:c>
      <x:c r="C29" s="3"/>
      <x:c r="D29" s="3"/>
      <x:c r="E29" s="3"/>
      <x:c r="F29" s="3"/>
      <x:c r="G29" s="3"/>
    </x:row>
    <x:row r="30" ht="55" customHeight="1">
      <x:c r="A30" s="3" t="str">
        <x:v>ToF 배치</x:v>
      </x:c>
      <x:c r="B30" s="3" t="str">
        <x:v>LiDAR가 있으면 깊이카메라 유무와 관계없이ToF0개입니다. LiDAR 없는 RGB 또는 스테레오안은 측면ToF4개입니다. RGB 또는RGB-D로 조향하고 낮은LiDAR로 근접 감시하는 검토안이며, 10Hz 충분 여부는 상대속도·여유거리·지연에 달립니다.</x:v>
      </x:c>
      <x:c r="C30" s="3"/>
      <x:c r="D30" s="3"/>
      <x:c r="E30" s="3"/>
      <x:c r="F30" s="3"/>
      <x:c r="G30" s="3"/>
    </x:row>
    <x:row r="31" ht="55" customHeight="1">
      <x:c r="A31" s="3" t="str">
        <x:v>하드웨어</x:v>
      </x:c>
      <x:c r="B31" s="3" t="str">
        <x:v>차체35/40만원은 확정 견적이 아닙니다. 모터·ESC·엔코더·공통 제어부의 실제 비용과 담당을 하드웨어팀과 확인합니다. 배선·장착비·예비비는 추가하지 않았습니다.</x:v>
      </x:c>
      <x:c r="C31" s="3"/>
      <x:c r="D31" s="3"/>
      <x:c r="E31" s="3"/>
      <x:c r="F31" s="3"/>
      <x:c r="G31" s="3"/>
    </x:row>
    <x:row r="32" ht="55" customHeight="1">
      <x:c r="A32" s="3" t="str">
        <x:v>사용법</x:v>
      </x:c>
      <x:c r="B32" s="3" t="str">
        <x:v>노란 단가·ToF 수량을 수정하면 합계와 가격순 표가 갱신됩니다. 가격순 표는 직접 수정하지 않습니다. 상품 교체 시 품명·조건·코멘트도 같이 수정합니다.</x:v>
      </x:c>
      <x:c r="C32" s="3"/>
      <x:c r="D32" s="3"/>
      <x:c r="E32" s="3"/>
      <x:c r="F32" s="3"/>
      <x:c r="G32" s="3"/>
    </x:row>
    <x:row r="33" ht="82" customHeight="1">
      <x:c r="A33" s="3"/>
      <x:c r="B33" s="3"/>
      <x:c r="C33" s="3"/>
      <x:c r="D33" s="3"/>
      <x:c r="E33" s="3"/>
      <x:c r="F33" s="3"/>
      <x:c r="G33" s="3"/>
    </x:row>
    <x:row r="34" ht="82" customHeight="1">
      <x:c r="A34" s="3"/>
      <x:c r="B34" s="3"/>
      <x:c r="C34" s="3"/>
      <x:c r="D34" s="3"/>
      <x:c r="E34" s="3"/>
      <x:c r="F34" s="3"/>
      <x:c r="G34" s="3"/>
    </x:row>
    <x:row r="35" ht="82" customHeight="1">
      <x:c r="A35" s="3"/>
      <x:c r="B35" s="3"/>
      <x:c r="C35" s="3"/>
      <x:c r="D35" s="3"/>
      <x:c r="E35" s="3"/>
      <x:c r="F35" s="3"/>
      <x:c r="G35" s="3"/>
    </x:row>
    <x:row r="36" ht="82" customHeight="1">
      <x:c r="A36" s="3"/>
      <x:c r="B36" s="3"/>
      <x:c r="C36" s="3"/>
      <x:c r="D36" s="3"/>
      <x:c r="E36" s="3"/>
      <x:c r="F36" s="3"/>
      <x:c r="G36" s="3"/>
    </x:row>
    <x:row r="37" ht="82" customHeight="1">
      <x:c r="A37" s="3"/>
      <x:c r="B37" s="3"/>
      <x:c r="C37" s="3"/>
      <x:c r="D37" s="3"/>
      <x:c r="E37" s="3"/>
      <x:c r="F37" s="3"/>
      <x:c r="G37" s="3"/>
    </x:row>
    <x:row r="38" ht="82" customHeight="1">
      <x:c r="A38" s="3"/>
      <x:c r="B38" s="3"/>
      <x:c r="C38" s="3"/>
      <x:c r="D38" s="3"/>
      <x:c r="E38" s="3"/>
      <x:c r="F38" s="3"/>
      <x:c r="G38" s="3"/>
    </x:row>
    <x:row r="39" ht="82" customHeight="1">
      <x:c r="A39" s="3"/>
      <x:c r="B39" s="3"/>
      <x:c r="C39" s="3"/>
      <x:c r="D39" s="3"/>
      <x:c r="E39" s="3"/>
      <x:c r="F39" s="3"/>
      <x:c r="G39" s="3"/>
    </x:row>
    <x:row r="40" ht="82" customHeight="1">
      <x:c r="A40" s="3"/>
      <x:c r="B40" s="3"/>
      <x:c r="C40" s="3"/>
      <x:c r="D40" s="3"/>
      <x:c r="E40" s="3"/>
      <x:c r="F40" s="3"/>
      <x:c r="G40" s="3"/>
    </x:row>
    <x:row r="41" ht="82" customHeight="1">
      <x:c r="A41" s="3"/>
      <x:c r="B41" s="3"/>
      <x:c r="C41" s="3"/>
      <x:c r="D41" s="3"/>
      <x:c r="E41" s="3"/>
      <x:c r="F41" s="3"/>
      <x:c r="G41" s="3"/>
    </x:row>
    <x:row r="42" ht="82" customHeight="1">
      <x:c r="A42" s="3"/>
      <x:c r="B42" s="3"/>
      <x:c r="C42" s="3"/>
      <x:c r="D42" s="3"/>
      <x:c r="E42" s="3"/>
      <x:c r="F42" s="3"/>
      <x:c r="G42" s="3"/>
    </x:row>
    <x:row r="43" ht="82" customHeight="1">
      <x:c r="A43" s="3"/>
      <x:c r="B43" s="3"/>
      <x:c r="C43" s="3"/>
      <x:c r="D43" s="3"/>
      <x:c r="E43" s="3"/>
      <x:c r="F43" s="3"/>
      <x:c r="G43" s="3"/>
    </x:row>
    <x:row r="44" ht="82" customHeight="1">
      <x:c r="A44" s="3"/>
      <x:c r="B44" s="3"/>
      <x:c r="C44" s="3"/>
      <x:c r="D44" s="3"/>
      <x:c r="E44" s="3"/>
      <x:c r="F44" s="3"/>
      <x:c r="G44" s="3"/>
    </x:row>
    <x:row r="45" ht="82" customHeight="1">
      <x:c r="A45" s="3"/>
      <x:c r="B45" s="3"/>
      <x:c r="C45" s="3"/>
      <x:c r="D45" s="3"/>
      <x:c r="E45" s="3"/>
      <x:c r="F45" s="3"/>
      <x:c r="G45" s="3"/>
    </x:row>
    <x:row r="46" ht="82" customHeight="1">
      <x:c r="A46" s="3"/>
      <x:c r="B46" s="3"/>
      <x:c r="C46" s="3"/>
      <x:c r="D46" s="3"/>
      <x:c r="E46" s="3"/>
      <x:c r="F46" s="3"/>
      <x:c r="G46" s="3"/>
    </x:row>
    <x:row r="47" ht="82" customHeight="1">
      <x:c r="A47" s="3"/>
      <x:c r="B47" s="3"/>
      <x:c r="C47" s="3"/>
      <x:c r="D47" s="3"/>
      <x:c r="E47" s="3"/>
      <x:c r="F47" s="3"/>
      <x:c r="G47" s="3"/>
    </x:row>
    <x:row r="48" ht="82" customHeight="1">
      <x:c r="A48" s="3"/>
      <x:c r="B48" s="3"/>
      <x:c r="C48" s="3"/>
      <x:c r="D48" s="3"/>
      <x:c r="E48" s="3"/>
      <x:c r="F48" s="3"/>
      <x:c r="G48" s="3"/>
    </x:row>
  </x:sheetData>
  <x:mergeCells>
    <x:mergeCell ref="A1:G1"/>
    <x:mergeCell ref="A2:G2"/>
    <x:mergeCell ref="B25:G25"/>
    <x:mergeCell ref="B26:G26"/>
    <x:mergeCell ref="B27:G27"/>
    <x:mergeCell ref="B28:G28"/>
    <x:mergeCell ref="B29:G29"/>
    <x:mergeCell ref="B30:G30"/>
    <x:mergeCell ref="B31:G31"/>
    <x:mergeCell ref="B32:G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4.380000114440918" hidden="0" customWidth="1"/>
    <x:col min="3" max="3" width="21.8799991607666" hidden="0" customWidth="1"/>
    <x:col min="4" max="4" width="53.75" hidden="0" customWidth="1"/>
    <x:col min="5" max="5" width="44.380001068115234" hidden="0" customWidth="1"/>
  </x:cols>
  <x:sheetData>
    <x:row r="1" ht="34" customHeight="1">
      <x:c r="A1" s="5" t="str">
        <x:v>센서 단가와 구매 출처</x:v>
      </x:c>
      <x:c r="B1" s="3"/>
      <x:c r="C1" s="3"/>
      <x:c r="D1" s="3"/>
      <x:c r="E1" s="3"/>
    </x:row>
    <x:row r="2" ht="34" customHeight="1">
      <x:c r="A2" s="7" t="str">
        <x:v>2026-09-05 실제 공개 상품 페이지 대조 · 최저가 보장 및 판매처 확정 아님</x:v>
      </x:c>
      <x:c r="B2" s="3"/>
      <x:c r="C2" s="3"/>
      <x:c r="D2" s="3"/>
      <x:c r="E2" s="3"/>
    </x:row>
    <x:row r="3" ht="34" customHeight="1">
      <x:c r="A3" s="3"/>
      <x:c r="B3" s="3"/>
      <x:c r="C3" s="3"/>
      <x:c r="D3" s="3"/>
      <x:c r="E3" s="3"/>
    </x:row>
    <x:row r="4" ht="38" customHeight="1">
      <x:c r="A4" s="9" t="str">
        <x:v>품목</x:v>
      </x:c>
      <x:c r="B4" s="9" t="str">
        <x:v>단가 (원)</x:v>
      </x:c>
      <x:c r="C4" s="9" t="str">
        <x:v>가격 구분</x:v>
      </x:c>
      <x:c r="D4" s="9" t="str">
        <x:v>구매 링크</x:v>
      </x:c>
      <x:c r="E4" s="9" t="str">
        <x:v>확인할 조건</x:v>
      </x:c>
    </x:row>
    <x:row r="5" ht="72" customHeight="1">
      <x:c r="A5" s="3" t="str">
        <x:v>VL53L7CX Pololu #3418</x:v>
      </x:c>
      <x:c r="B5" s="11" t="n">
        <x:v>35200</x:v>
      </x:c>
      <x:c r="C5" s="3" t="str">
        <x:v>VAT 포함</x:v>
      </x:c>
      <x:c r="D5" s="3" t="str">
        <x:v>https://www.devicemart.co.kr/goods/view?no=15145342</x:v>
      </x:c>
      <x:c r="E5" s="3" t="str">
        <x:v>센서 IC가 아닌 전압조정·레벨변환 포함 캐리어. 해외 준비기간 약 1주 표기.</x:v>
      </x:c>
    </x:row>
    <x:row r="6" ht="72" customHeight="1">
      <x:c r="A6" s="3" t="str">
        <x:v>RPLIDAR C1</x:v>
      </x:c>
      <x:c r="B6" s="11" t="n">
        <x:v>99000</x:v>
      </x:c>
      <x:c r="C6" s="3" t="str">
        <x:v>VAT 포함</x:v>
      </x:c>
      <x:c r="D6" s="3" t="str">
        <x:v>https://www.devicemart.co.kr/goods/view?no=15274068</x:v>
      </x:c>
      <x:c r="E6" s="3" t="str">
        <x:v>10 Hz 대표값. USB 변환기·케이블 동봉 여부는 주문 전 확인.</x:v>
      </x:c>
    </x:row>
    <x:row r="7" ht="72" customHeight="1">
      <x:c r="A7" s="3" t="str">
        <x:v>OAK-D Lite FF</x:v>
      </x:c>
      <x:c r="B7" s="11" t="n">
        <x:v>384901</x:v>
      </x:c>
      <x:c r="C7" s="3" t="str">
        <x:v>VAT 포함</x:v>
      </x:c>
      <x:c r="D7" s="3" t="str">
        <x:v>https://www.devicemart.co.kr/goods/view?no=15694056</x:v>
      </x:c>
      <x:c r="E7" s="3" t="str">
        <x:v>FF 기준. 검색 캐시 391,270원과 다름. AF도 실제 페이지 384,901원으로 저가 이점 없음.</x:v>
      </x:c>
    </x:row>
    <x:row r="8" ht="72" customHeight="1">
      <x:c r="A8" s="3" t="str">
        <x:v>Orbbec Gemini 335</x:v>
      </x:c>
      <x:c r="B8" s="11" t="n">
        <x:v>506000</x:v>
      </x:c>
      <x:c r="C8" s="3" t="str">
        <x:v>VAT 포함</x:v>
      </x:c>
      <x:c r="D8" s="3" t="str">
        <x:v>https://www.icbanq.com/P016230029</x:v>
      </x:c>
      <x:c r="E8" s="3" t="str">
        <x:v>460,000원 + VAT. 검색 캐시 440,000원을 최종 계산에서 제외.</x:v>
      </x:c>
    </x:row>
    <x:row r="9" ht="72" customHeight="1">
      <x:c r="A9" s="3" t="str">
        <x:v>RealSense D435i 신규</x:v>
      </x:c>
      <x:c r="B9" s="11" t="n">
        <x:v>563000</x:v>
      </x:c>
      <x:c r="C9" s="3" t="str">
        <x:v>판매 표시가</x:v>
      </x:c>
      <x:c r="D9" s="3" t="str">
        <x:v>https://reallystore.net/goods/view?no=363</x:v>
      </x:c>
      <x:c r="E9" s="3" t="str">
        <x:v>배송 3,000원 별도. VAT 포함 여부는 견적서로 재확인. 보유 장비의 규정 평가액은 미정.</x:v>
      </x:c>
    </x:row>
    <x:row r="10" ht="72" customHeight="1">
      <x:c r="A10" s="3" t="str">
        <x:v>RealSense D436 신규</x:v>
      </x:c>
      <x:c r="B10" s="11" t="n">
        <x:v>597000</x:v>
      </x:c>
      <x:c r="C10" s="3" t="str">
        <x:v>판매 표시가</x:v>
      </x:c>
      <x:c r="D10" s="3" t="str">
        <x:v>https://reallystore.net/goods/view?no=802</x:v>
      </x:c>
      <x:c r="E10" s="3" t="str">
        <x:v>배송 3,000원 별도. VAT 포함 여부 재확인. 할인 전 656,700원 표시.</x:v>
      </x:c>
    </x:row>
    <x:row r="11" ht="72" customHeight="1">
      <x:c r="A11" s="3" t="str">
        <x:v>RPLIDAR S3</x:v>
      </x:c>
      <x:c r="B11" s="11" t="n">
        <x:v>739200</x:v>
      </x:c>
      <x:c r="C11" s="3" t="str">
        <x:v>VAT 포함</x:v>
      </x:c>
      <x:c r="D11" s="3" t="str">
        <x:v>https://www.devicemart.co.kr/goods/view?no=15267468</x:v>
      </x:c>
      <x:c r="E11" s="3" t="str">
        <x:v>672,000원 + VAT. 10~20 Hz 지원, 대표 10 Hz. 20 Hz 설정·실제 전달률 및 USB 구성품 확인.</x:v>
      </x:c>
    </x:row>
    <x:row r="12" ht="72" customHeight="1">
      <x:c r="A12" s="3" t="str">
        <x:v>Arducam B0385 / OV9782</x:v>
      </x:c>
      <x:c r="B12" s="11" t="n">
        <x:v>96360</x:v>
      </x:c>
      <x:c r="C12" s="3" t="str">
        <x:v>VAT 포함 / 품절</x:v>
      </x:c>
      <x:c r="D12" s="3" t="str">
        <x:v>https://www.devicemart.co.kr/goods/view?no=14900621</x:v>
      </x:c>
      <x:c r="E12" s="3" t="str">
        <x:v>사용자가 직접120fps 동작 확인. 당시 해상도·코덱은 미확인. 문서100fps(MJPEG)/10fps(YUY2)와 별도 기록. 국내 품절 비교 단가.</x:v>
      </x:c>
    </x:row>
    <x:row r="13" ht="34" customHeight="1">
      <x:c r="A13" s="3"/>
      <x:c r="B13" s="3"/>
      <x:c r="C13" s="3"/>
      <x:c r="D13" s="3"/>
      <x:c r="E13" s="3"/>
    </x:row>
    <x:row r="14" ht="65" customHeight="1">
      <x:c r="A14" s="3" t="str">
        <x:v>산정 원칙</x:v>
      </x:c>
      <x:c r="B14" s="3" t="str">
        <x:v>실제 표시가</x:v>
      </x:c>
      <x:c r="C14" s="3" t="str">
        <x:v>센서 단품 합계 / 배송 별도</x:v>
      </x:c>
      <x:c r="D14" s="3" t="str">
        <x:v>실시간 가격을 검색 캐시보다 우선</x:v>
      </x:c>
      <x:c r="E14" s="3" t="str">
        <x:v>결제·재고 확보·업체 견적 요청은 수행하지 않음</x:v>
      </x:c>
    </x:row>
    <x:row r="15" ht="34" customHeight="1">
      <x:c r="A15" s="3"/>
      <x:c r="B15" s="3"/>
      <x:c r="C15" s="3"/>
      <x:c r="D15" s="3"/>
      <x:c r="E15" s="3"/>
    </x:row>
    <x:row r="16" ht="65" customHeight="1">
      <x:c r="A16" s="3" t="str">
        <x:v>공통 지원품은 별도</x:v>
      </x:c>
      <x:c r="B16" s="3"/>
      <x:c r="C16" s="3"/>
      <x:c r="D16" s="3" t="str">
        <x:v>https://github.com/MOSW626/istech-it-arena/blob/main/MANUAL.md</x:v>
      </x:c>
      <x:c r="E16" s="3" t="str">
        <x:v>Jetson·배터리·ST3215-HS 2개·PDB 2개를 중복 구매비에 넣지 않음.</x:v>
      </x:c>
    </x:row>
    <x:row r="17" ht="34" customHeight="1">
      <x:c r="A17" s="3"/>
      <x:c r="B17" s="3"/>
      <x:c r="C17" s="3"/>
      <x:c r="D17" s="3"/>
      <x:c r="E17" s="3"/>
    </x:row>
    <x:row r="18" ht="88" customHeight="1">
      <x:c r="A18" s="3" t="str">
        <x:v>Arducam B020101 / IMX291</x:v>
      </x:c>
      <x:c r="B18" s="10" t="n">
        <x:v>104500</x:v>
      </x:c>
      <x:c r="C18" s="3" t="str">
        <x:v>VAT 포함 / 대안</x:v>
      </x:c>
      <x:c r="D18" s="3" t="str">
        <x:v>https://www.devicemart.co.kr/goods/view?no=14900640</x:v>
      </x:c>
      <x:c r="E18" s="3" t="str">
        <x:v>1080p 30fps, UVC, 수동 초점·광각. 해외 준비 2주 표기. B0385와 동등한 고속 대체품 아님.</x:v>
      </x:c>
    </x:row>
    <x:row r="19" ht="88" customHeight="1">
      <x:c r="A19" s="3" t="str">
        <x:v>Arducam B0495 / AR0234</x:v>
      </x:c>
      <x:c r="B19" s="3"/>
      <x:c r="C19" s="3" t="str">
        <x:v>국내 원화 미견적</x:v>
      </x:c>
      <x:c r="D19" s="3" t="str">
        <x:v>https://blog.arducam.com/downloads/datasheet/B0495_AR0234_Global_Shutter_USB3.0_Camera_Module_Datasheet.pdf</x:v>
      </x:c>
      <x:c r="E19" s="3" t="str">
        <x:v>상위 후보만 유지. USB3 UVC·컬러 글로벌 셔터·1920×1200 50fps(YUY2). 기본 초점 2m~무한대 재조정 필요. 합계 미반영.</x:v>
      </x:c>
    </x:row>
    <x:row r="20" ht="88" customHeight="1">
      <x:c r="A20" s="3" t="str">
        <x:v>MCU 잠정 후보 ESP32-S3</x:v>
      </x:c>
      <x:c r="B20" s="3"/>
      <x:c r="C20" s="3" t="str">
        <x:v>모델·가격·분담 미정</x:v>
      </x:c>
      <x:c r="D20" s="3" t="str">
        <x:v>사용자 2026-09-05 후속 메시지</x:v>
      </x:c>
      <x:c r="E20" s="3" t="str">
        <x:v>정확한 개발보드 미선정. 센서 합계 제외는 무료/공식 예산 면제를 뜻하지 않음. 카메라는 Jetson USB 연결을 기준으로 검토.</x:v>
      </x:c>
    </x:row>
    <x:row r="21">
      <x:c r="A21" s="3"/>
      <x:c r="B21" s="3"/>
      <x:c r="C21" s="3"/>
      <x:c r="D21" s="3"/>
      <x:c r="E21" s="3"/>
    </x:row>
    <x:row r="22" ht="106" customHeight="1">
      <x:c r="A22" s="3" t="str">
        <x:v>Voltly OV2710 / VLT-CAM014</x:v>
      </x:c>
      <x:c r="B22" s="50" t="n">
        <x:v>63360</x:v>
      </x:c>
      <x:c r="C22" s="3" t="str">
        <x:v>VAT 포함 / 국내 판매</x:v>
      </x:c>
      <x:c r="D22" s="3" t="str">
        <x:v>https://www.devicemart.co.kr/goods/view?no=15961405</x:v>
      </x:c>
      <x:c r="E22" s="3" t="str">
        <x:v>57,600원+VAT. 구매 버튼·준비 3~4일 표시, 재고 수량 미확인. USB·MJPEG/YUY2·최대120fps 표기. 해상도별 fps 미기재로 720p60fps는 확인 필요.</x:v>
      </x:c>
    </x:row>
    <x:row r="23" ht="88" customHeight="1">
      <x:c r="A23"/>
      <x:c r="B23"/>
      <x:c r="C23"/>
      <x:c r="D23"/>
      <x:c r="E23"/>
    </x:row>
    <x:row r="24" ht="92" customHeight="1">
      <x:c r="A24" s="3" t="str">
        <x:v>Orbbec Gemini 2</x:v>
      </x:c>
      <x:c r="B24" s="58" t="n">
        <x:v>454300</x:v>
      </x:c>
      <x:c r="C24" s="3" t="str">
        <x:v>VAT 포함</x:v>
      </x:c>
      <x:c r="D24" s="3" t="str">
        <x:v>https://www.devicemart.co.kr/goods/view?no=15013145</x:v>
      </x:c>
      <x:c r="E24" s="3" t="str">
        <x:v>413,000원+VAT. 저가 능동 스테레오 비교안. 실내 우선. 실재고·납기는 주문 전 확인.</x:v>
      </x:c>
    </x:row>
    <x:row r="25" ht="92" customHeight="1">
      <x:c r="A25" s="3" t="str">
        <x:v>Orbbec Gemini 335L</x:v>
      </x:c>
      <x:c r="B25" s="58" t="n">
        <x:v>605000</x:v>
      </x:c>
      <x:c r="C25" s="3" t="str">
        <x:v>VAT 포함</x:v>
      </x:c>
      <x:c r="D25" s="3" t="str">
        <x:v>https://www.icbanq.com/P016230042</x:v>
      </x:c>
      <x:c r="E25" s="3" t="str">
        <x:v>550,000원+VAT. RGB 글로벌 셔터·95mm 기선. 335와 별도 모델. 실재고·납기는 주문 전 확인.</x:v>
      </x:c>
    </x:row>
    <x:row r="26" ht="92" customHeight="1">
      <x:c r="A26" s="3" t="str">
        <x:v>OAK-D S2 FF</x:v>
      </x:c>
      <x:c r="B26" s="58" t="n">
        <x:v>649000</x:v>
      </x:c>
      <x:c r="C26" s="3" t="str">
        <x:v>VAT 포함</x:v>
      </x:c>
      <x:c r="D26" s="3" t="str">
        <x:v>https://www.devicemart.co.kr/goods/view?no=15073622</x:v>
      </x:c>
      <x:c r="E26" s="3" t="str">
        <x:v>590,000원+VAT. 일반 S2에는 IR 프로젝터 없음. Lite 대비 800p 스테레오 비교용.</x:v>
      </x:c>
    </x:row>
    <x:row r="27" ht="92" customHeight="1">
      <x:c r="A27" s="3" t="str">
        <x:v>OAK-D Pro FF / IMX378</x:v>
      </x:c>
      <x:c r="B27" s="58" t="n">
        <x:v>852500</x:v>
      </x:c>
      <x:c r="C27" s="3" t="str">
        <x:v>VAT 포함</x:v>
      </x:c>
      <x:c r="D27" s="3" t="str">
        <x:v>https://www.devicemart.co.kr/goods/view?no=15073612</x:v>
      </x:c>
      <x:c r="E27" s="3" t="str">
        <x:v>775,000원+VAT. IR 점무늬·투광기 탑재. RGB는 롤링 셔터. OV9782 모델과 구분. IR 사용 시 전원 조건 확인.</x:v>
      </x:c>
    </x:row>
    <x:row r="28" ht="92" customHeight="1">
      <x:c r="A28" s="3" t="str">
        <x:v>RealSense D455</x:v>
      </x:c>
      <x:c r="B28" s="58" t="n">
        <x:v>710000</x:v>
      </x:c>
      <x:c r="C28" s="3" t="str">
        <x:v>표시가 / VAT 미확인</x:v>
      </x:c>
      <x:c r="D28" s="3" t="str">
        <x:v>https://reallystore.net/goods/view?no=364</x:v>
      </x:c>
      <x:c r="E28" s="3" t="str">
        <x:v>710,000원 표시. 세금 포함 여부·해외구매 조건 확인. 표시가만 합계에 반영하며 확정 도착가가 아님.</x:v>
      </x:c>
    </x:row>
    <x:row r="29" ht="92" customHeight="1">
      <x:c r="A29" s="3" t="str">
        <x:v>OAK-D Pro FF-97 / OV9782</x:v>
      </x:c>
      <x:c r="B29" s="58" t="n">
        <x:v>946000</x:v>
      </x:c>
      <x:c r="C29" s="3" t="str">
        <x:v>VAT 포함</x:v>
      </x:c>
      <x:c r="D29" s="3" t="str">
        <x:v>https://www.devicemart.co.kr/goods/view?no=15539204</x:v>
      </x:c>
      <x:c r="E29" s="3" t="str">
        <x:v>860,000원+VAT. IR 탑재·RGB 글로벌 셔터. IMX378 Pro보다 93,500원 높음. FF-97 상품명·센서 확인.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10.630000114440918" hidden="0" customWidth="1"/>
    <x:col min="4" max="4" width="15" hidden="0" customWidth="1"/>
    <x:col min="5" max="5" width="11.25" hidden="0" customWidth="1"/>
    <x:col min="6" max="6" width="18.1299991607666" hidden="0" customWidth="1"/>
    <x:col min="7" max="7" width="57.5" hidden="0" customWidth="1"/>
  </x:cols>
  <x:sheetData>
    <x:row r="1" ht="34" customHeight="1">
      <x:c r="A1" s="5" t="str">
        <x:v>하드웨어팀 차체 견적 대조</x:v>
      </x:c>
      <x:c r="B1" s="3"/>
      <x:c r="C1" s="3"/>
      <x:c r="D1" s="3"/>
      <x:c r="E1" s="3"/>
      <x:c r="F1" s="3"/>
      <x:c r="G1" s="3"/>
    </x:row>
    <x:row r="2" ht="34" customHeight="1">
      <x:c r="A2" s="7" t="str">
        <x:v>원본 파일은 변경하지 않았습니다. 가격 재검색 없이 첨부 단가×수량을 재계산했습니다.</x:v>
      </x:c>
      <x:c r="B2" s="3"/>
      <x:c r="C2" s="3"/>
      <x:c r="D2" s="3"/>
      <x:c r="E2" s="3"/>
      <x:c r="F2" s="3"/>
      <x:c r="G2" s="3"/>
    </x:row>
    <x:row r="3" ht="34" customHeight="1">
      <x:c r="A3" s="3"/>
      <x:c r="B3" s="3"/>
      <x:c r="C3" s="3"/>
      <x:c r="D3" s="3"/>
      <x:c r="E3" s="3"/>
      <x:c r="F3" s="3"/>
      <x:c r="G3" s="3"/>
    </x:row>
    <x:row r="4" ht="38" customHeight="1">
      <x:c r="A4" s="9" t="str">
        <x:v>품목</x:v>
      </x:c>
      <x:c r="B4" s="9" t="str">
        <x:v>단가 (원)</x:v>
      </x:c>
      <x:c r="C4" s="9" t="str">
        <x:v>수량</x:v>
      </x:c>
      <x:c r="D4" s="9" t="str">
        <x:v>금액 (원)</x:v>
      </x:c>
      <x:c r="E4" s="9" t="str">
        <x:v>구분</x:v>
      </x:c>
      <x:c r="F4" s="9" t="str">
        <x:v>원본 행</x:v>
      </x:c>
      <x:c r="G4" s="9" t="str">
        <x:v>원본 구매 링크</x:v>
      </x:c>
    </x:row>
    <x:row r="5" ht="43" customHeight="1">
      <x:c r="A5" s="3" t="str">
        <x:v>캠버&amp;토링크 세트=위시본</x:v>
      </x:c>
      <x:c r="B5" s="10" t="n">
        <x:v>4500</x:v>
      </x:c>
      <x:c r="C5" s="12" t="n">
        <x:v>1</x:v>
      </x:c>
      <x:c r="D5" s="10" t="n">
        <x:f>B5*C5</x:f>
        <x:v>4500</x:v>
      </x:c>
      <x:c r="E5" s="3" t="str">
        <x:v>필수</x:v>
      </x:c>
      <x:c r="F5" s="3" t="str">
        <x:v>Sheet1 행 3</x:v>
      </x:c>
      <x:c r="G5" s="3" t="str">
        <x:v>https://m.rc9.co.kr/product/ax7636-latrax-camber-toe-link-set-teton/49801/category/1147/display/1/</x:v>
      </x:c>
    </x:row>
    <x:row r="6" ht="43" customHeight="1">
      <x:c r="A6" s="3" t="str">
        <x:v>프론트/리어 서스펜션 암</x:v>
      </x:c>
      <x:c r="B6" s="10" t="n">
        <x:v>7650</x:v>
      </x:c>
      <x:c r="C6" s="12" t="n">
        <x:v>2</x:v>
      </x:c>
      <x:c r="D6" s="10" t="n">
        <x:f>B6*C6</x:f>
        <x:v>15300</x:v>
      </x:c>
      <x:c r="E6" s="3" t="str">
        <x:v>필수</x:v>
      </x:c>
      <x:c r="F6" s="3" t="str">
        <x:v>Sheet1 행 4</x:v>
      </x:c>
      <x:c r="G6" s="3" t="str">
        <x:v>https://m.rc9.co.kr/product/ax7630-latrax-frontrear-suspension-arm-2-teton/49803/category/1147/display/1/</x:v>
      </x:c>
    </x:row>
    <x:row r="7" ht="43" customHeight="1">
      <x:c r="A7" s="3" t="str">
        <x:v>프론트/리어 서스펜션 핀 세트</x:v>
      </x:c>
      <x:c r="B7" s="10" t="n">
        <x:v>8550</x:v>
      </x:c>
      <x:c r="C7" s="12" t="n">
        <x:v>1</x:v>
      </x:c>
      <x:c r="D7" s="10" t="n">
        <x:f>B7*C7</x:f>
        <x:v>8550</x:v>
      </x:c>
      <x:c r="E7" s="3" t="str">
        <x:v>필수</x:v>
      </x:c>
      <x:c r="F7" s="3" t="str">
        <x:v>Sheet1 행 5</x:v>
      </x:c>
      <x:c r="G7" s="3" t="str">
        <x:v>https://m.rc9.co.kr/product/ax7533-latrax-front-rear-suspension-pin-set-rally-teton/49940/category/1147/display/1/</x:v>
      </x:c>
    </x:row>
    <x:row r="8" ht="43" customHeight="1">
      <x:c r="A8" s="3" t="str">
        <x:v>스티어링크</x:v>
      </x:c>
      <x:c r="B8" s="10" t="n">
        <x:v>12150</x:v>
      </x:c>
      <x:c r="C8" s="12" t="n">
        <x:v>1</x:v>
      </x:c>
      <x:c r="D8" s="10" t="n">
        <x:f>B8*C8</x:f>
        <x:v>12150</x:v>
      </x:c>
      <x:c r="E8" s="3" t="str">
        <x:v>필수</x:v>
      </x:c>
      <x:c r="F8" s="3" t="str">
        <x:v>Sheet1 행 6</x:v>
      </x:c>
      <x:c r="G8" s="3" t="str">
        <x:v>https://m.rc9.co.kr/product/ax7538x-latrax-steering-bellcrank-set-teton/49934/category/1147/display/1/</x:v>
      </x:c>
    </x:row>
    <x:row r="9" ht="43" customHeight="1">
      <x:c r="A9" s="3" t="str">
        <x:v>프론트/리어 드라이브 샤프트</x:v>
      </x:c>
      <x:c r="B9" s="10" t="n">
        <x:v>7650</x:v>
      </x:c>
      <x:c r="C9" s="12" t="n">
        <x:v>2</x:v>
      </x:c>
      <x:c r="D9" s="10" t="n">
        <x:f>B9*C9</x:f>
        <x:v>15300</x:v>
      </x:c>
      <x:c r="E9" s="3" t="str">
        <x:v>필수</x:v>
      </x:c>
      <x:c r="F9" s="3" t="str">
        <x:v>Sheet1 행 7</x:v>
      </x:c>
      <x:c r="G9" s="3" t="str">
        <x:v>https://m.rc9.co.kr/product/ax7650-latrax-frontrear-assembled-driveshaft-2teton/49796/category/1147/display/1/</x:v>
      </x:c>
    </x:row>
    <x:row r="10" ht="43" customHeight="1">
      <x:c r="A10" s="3" t="str">
        <x:v>캐스터&amp;스티어링 블록 세트</x:v>
      </x:c>
      <x:c r="B10" s="10" t="n">
        <x:v>7650</x:v>
      </x:c>
      <x:c r="C10" s="12" t="n">
        <x:v>1</x:v>
      </x:c>
      <x:c r="D10" s="10" t="n">
        <x:f>B10*C10</x:f>
        <x:v>7650</x:v>
      </x:c>
      <x:c r="E10" s="3" t="str">
        <x:v>필수</x:v>
      </x:c>
      <x:c r="F10" s="3" t="str">
        <x:v>Sheet1 행 8</x:v>
      </x:c>
      <x:c r="G10" s="3" t="str">
        <x:v>https://m.rc9.co.kr/product/ax7532-latrax-caster-steering-block-set-rally-teton/49941/category/1147/display/1/</x:v>
      </x:c>
    </x:row>
    <x:row r="11" ht="43" customHeight="1">
      <x:c r="A11" s="3" t="str">
        <x:v>볼스크류 세트</x:v>
      </x:c>
      <x:c r="B11" s="10" t="n">
        <x:v>9900</x:v>
      </x:c>
      <x:c r="C11" s="12" t="n">
        <x:v>2</x:v>
      </x:c>
      <x:c r="D11" s="10" t="n">
        <x:f>B11*C11</x:f>
        <x:v>19800</x:v>
      </x:c>
      <x:c r="E11" s="3" t="str">
        <x:v>필수</x:v>
      </x:c>
      <x:c r="F11" s="3" t="str">
        <x:v>Sheet1 행 9</x:v>
      </x:c>
      <x:c r="G11" s="3" t="str">
        <x:v>https://m.rc9.co.kr/product/ax7540x-pivot-balls-black-6-silver-2-black-long-2/49932/category/1147/display/1/</x:v>
      </x:c>
    </x:row>
    <x:row r="12" ht="43" customHeight="1">
      <x:c r="A12" s="3" t="str">
        <x:v>베어링 세트</x:v>
      </x:c>
      <x:c r="B12" s="10" t="n">
        <x:v>24300</x:v>
      </x:c>
      <x:c r="C12" s="12" t="n">
        <x:v>1</x:v>
      </x:c>
      <x:c r="D12" s="10" t="n">
        <x:f>B12*C12</x:f>
        <x:v>24300</x:v>
      </x:c>
      <x:c r="E12" s="3" t="str">
        <x:v>필수</x:v>
      </x:c>
      <x:c r="F12" s="3" t="str">
        <x:v>Sheet1 행 10</x:v>
      </x:c>
      <x:c r="G12" s="3" t="str">
        <x:v>https://m.rc9.co.kr/product/ax7541x-latrax-bearing-set-rally-teton/49931/category/1147/display/1/</x:v>
      </x:c>
    </x:row>
    <x:row r="13" ht="43" customHeight="1">
      <x:c r="A13" s="3" t="str">
        <x:v>스크류 세트</x:v>
      </x:c>
      <x:c r="B13" s="10" t="n">
        <x:v>6300</x:v>
      </x:c>
      <x:c r="C13" s="12" t="n">
        <x:v>1</x:v>
      </x:c>
      <x:c r="D13" s="10" t="n">
        <x:f>B13*C13</x:f>
        <x:v>6300</x:v>
      </x:c>
      <x:c r="E13" s="3" t="str">
        <x:v>필수</x:v>
      </x:c>
      <x:c r="F13" s="3" t="str">
        <x:v>Sheet1 행 11</x:v>
      </x:c>
      <x:c r="G13" s="3" t="str">
        <x:v>https://m.rc9.co.kr/product/ax7543x-latrax-teton-screw-set-teton/49929/category/1147/display/1/</x:v>
      </x:c>
    </x:row>
    <x:row r="14" ht="43" customHeight="1">
      <x:c r="A14" s="3" t="str">
        <x:v>리어 액슬 캐리어</x:v>
      </x:c>
      <x:c r="B14" s="10" t="n">
        <x:v>7650</x:v>
      </x:c>
      <x:c r="C14" s="12" t="n">
        <x:v>1</x:v>
      </x:c>
      <x:c r="D14" s="10" t="n">
        <x:f>B14*C14</x:f>
        <x:v>7650</x:v>
      </x:c>
      <x:c r="E14" s="3" t="str">
        <x:v>필수</x:v>
      </x:c>
      <x:c r="F14" s="3" t="str">
        <x:v>Sheet1 행 12</x:v>
      </x:c>
      <x:c r="G14" s="3" t="str">
        <x:v>https://m.rc9.co.kr/product/ax7552x-latrax-rear-axle-carriers-2-teton/49926/category/1147/display/1/</x:v>
      </x:c>
    </x:row>
    <x:row r="15" ht="43" customHeight="1">
      <x:c r="A15" s="3" t="str">
        <x:v>디퍼렌셜 기어 셋트</x:v>
      </x:c>
      <x:c r="B15" s="10" t="n">
        <x:v>13500</x:v>
      </x:c>
      <x:c r="C15" s="12" t="n">
        <x:v>1</x:v>
      </x:c>
      <x:c r="D15" s="10" t="n">
        <x:f>B15*C15</x:f>
        <x:v>13500</x:v>
      </x:c>
      <x:c r="E15" s="3" t="str">
        <x:v>필수</x:v>
      </x:c>
      <x:c r="F15" s="3" t="str">
        <x:v>Sheet1 행 13</x:v>
      </x:c>
      <x:c r="G15" s="3" t="str">
        <x:v>http://hobbymall.co.kr/product/product_detail.asp?product_number=168710</x:v>
      </x:c>
    </x:row>
    <x:row r="16" ht="43" customHeight="1">
      <x:c r="A16" s="3" t="str">
        <x:v>알루미늄 휠너트</x:v>
      </x:c>
      <x:c r="B16" s="10" t="n">
        <x:v>22500</x:v>
      </x:c>
      <x:c r="C16" s="12" t="n">
        <x:v>1</x:v>
      </x:c>
      <x:c r="D16" s="10" t="n">
        <x:f>B16*C16</x:f>
        <x:v>22500</x:v>
      </x:c>
      <x:c r="E16" s="3" t="str">
        <x:v>필수</x:v>
      </x:c>
      <x:c r="F16" s="3" t="str">
        <x:v>Sheet1 행 14</x:v>
      </x:c>
      <x:c r="G16" s="3" t="str">
        <x:v>https://rc9.co.kr/product/detail.html?product_no=49787&amp;cate_no=1147&amp;display_group=1</x:v>
      </x:c>
    </x:row>
    <x:row r="17" ht="43" customHeight="1">
      <x:c r="A17" s="3" t="str">
        <x:v>휠 허브 12mm hex</x:v>
      </x:c>
      <x:c r="B17" s="10" t="n">
        <x:v>4050</x:v>
      </x:c>
      <x:c r="C17" s="12" t="n">
        <x:v>1</x:v>
      </x:c>
      <x:c r="D17" s="10" t="n">
        <x:f>B17*C17</x:f>
        <x:v>4050</x:v>
      </x:c>
      <x:c r="E17" s="3" t="str">
        <x:v>필수</x:v>
      </x:c>
      <x:c r="F17" s="3" t="str">
        <x:v>Sheet1 행 15</x:v>
      </x:c>
      <x:c r="G17" s="3" t="str">
        <x:v>https://rc9.co.kr/product/detail.html?product_no=49784&amp;cate_no=1147&amp;display_group=1</x:v>
      </x:c>
    </x:row>
    <x:row r="18" ht="43" customHeight="1">
      <x:c r="A18" s="3" t="str">
        <x:v>휠 타이어 셋트</x:v>
      </x:c>
      <x:c r="B18" s="10" t="n">
        <x:v>29800</x:v>
      </x:c>
      <x:c r="C18" s="12" t="n">
        <x:v>2</x:v>
      </x:c>
      <x:c r="D18" s="10" t="n">
        <x:f>B18*C18</x:f>
        <x:v>59600</x:v>
      </x:c>
      <x:c r="E18" s="3" t="str">
        <x:v>필수</x:v>
      </x:c>
      <x:c r="F18" s="3" t="str">
        <x:v>Sheet1 행 16</x:v>
      </x:c>
      <x:c r="G18" s="3" t="str">
        <x:v>https://rc9.co.kr/product/detail.html?product_no=88689</x:v>
      </x:c>
    </x:row>
    <x:row r="19" ht="43" customHeight="1">
      <x:c r="A19" s="3" t="str">
        <x:v>쇽</x:v>
      </x:c>
      <x:c r="B19" s="10" t="n">
        <x:v>19200</x:v>
      </x:c>
      <x:c r="C19" s="12" t="n">
        <x:v>2</x:v>
      </x:c>
      <x:c r="D19" s="10" t="n">
        <x:f>B19*C19</x:f>
        <x:v>38400</x:v>
      </x:c>
      <x:c r="E19" s="3" t="str">
        <x:v>선택</x:v>
      </x:c>
      <x:c r="F19" s="3" t="str">
        <x:v>Sheet1 행 20</x:v>
      </x:c>
      <x:c r="G19" s="3" t="str">
        <x:v>https://rc9.co.kr/product/detail.html?product_no=84748&amp;cate_no=1147&amp;display_group=1</x:v>
      </x:c>
    </x:row>
    <x:row r="20" ht="43" customHeight="1">
      <x:c r="A20" s="3" t="str">
        <x:v>디퍼렌셜 하우징</x:v>
      </x:c>
      <x:c r="B20" s="10" t="n">
        <x:v>9000</x:v>
      </x:c>
      <x:c r="C20" s="12" t="n">
        <x:v>1</x:v>
      </x:c>
      <x:c r="D20" s="10" t="n">
        <x:f>B20*C20</x:f>
        <x:v>9000</x:v>
      </x:c>
      <x:c r="E20" s="3" t="str">
        <x:v>선택</x:v>
      </x:c>
      <x:c r="F20" s="3" t="str">
        <x:v>Sheet1 행 21</x:v>
      </x:c>
      <x:c r="G20" s="3" t="str">
        <x:v>https://rc9.co.kr/product/detail.html?product_no=49943&amp;cate_no=1147&amp;display_group=1</x:v>
      </x:c>
    </x:row>
    <x:row r="21" ht="34" customHeight="1">
      <x:c r="A21" s="3"/>
      <x:c r="B21" s="10"/>
      <x:c r="C21" s="10"/>
      <x:c r="D21" s="10"/>
      <x:c r="E21" s="3"/>
      <x:c r="F21" s="3"/>
      <x:c r="G21" s="3"/>
    </x:row>
    <x:row r="22" ht="34" customHeight="1">
      <x:c r="A22" s="3" t="str">
        <x:v>필수 부품 합계</x:v>
      </x:c>
      <x:c r="B22" s="10"/>
      <x:c r="C22" s="10"/>
      <x:c r="D22" s="10" t="n">
        <x:f>SUM(D5:D18)</x:f>
        <x:v>221150</x:v>
      </x:c>
      <x:c r="E22" s="3"/>
      <x:c r="F22" s="3"/>
      <x:c r="G22" s="3"/>
    </x:row>
    <x:row r="23" ht="34" customHeight="1">
      <x:c r="A23" s="3" t="str">
        <x:v>선택 부품 합계</x:v>
      </x:c>
      <x:c r="B23" s="10"/>
      <x:c r="C23" s="10"/>
      <x:c r="D23" s="10" t="n">
        <x:f>SUM(D19:D20)</x:f>
        <x:v>47400</x:v>
      </x:c>
      <x:c r="E23" s="3"/>
      <x:c r="F23" s="3"/>
      <x:c r="G23" s="3"/>
    </x:row>
    <x:row r="24" ht="34" customHeight="1">
      <x:c r="A24" s="3" t="str">
        <x:v>선택 포함 합계</x:v>
      </x:c>
      <x:c r="B24" s="10"/>
      <x:c r="C24" s="10"/>
      <x:c r="D24" s="10" t="n">
        <x:f>SUM(D22:D23)</x:f>
        <x:v>268550</x:v>
      </x:c>
      <x:c r="E24" s="3"/>
      <x:c r="F24" s="3"/>
      <x:c r="G24" s="3"/>
    </x:row>
    <x:row r="25" ht="34" customHeight="1">
      <x:c r="A25" s="3"/>
      <x:c r="B25" s="10"/>
      <x:c r="C25" s="10"/>
      <x:c r="D25" s="10"/>
      <x:c r="E25" s="3"/>
      <x:c r="F25" s="3"/>
      <x:c r="G25" s="3"/>
    </x:row>
    <x:row r="26" ht="62" customHeight="1">
      <x:c r="A26" s="3" t="str">
        <x:v>모터 가격 가정</x:v>
      </x:c>
      <x:c r="B26" s="11" t="n">
        <x:v>100000</x:v>
      </x:c>
      <x:c r="C26" s="10" t="str">
        <x:v>사용자 추정</x:v>
      </x:c>
      <x:c r="D26" s="10"/>
      <x:c r="E26" s="3" t="str">
        <x:v>미견적 항목</x:v>
      </x:c>
      <x:c r="F26" s="3"/>
      <x:c r="G26" s="3" t="str">
        <x:v>모터·ESC·엔코더·제어보드·본체 제작재료·통신·전원 부속·비상정지 구현비의 누락/지원 여부 확인</x:v>
      </x:c>
    </x:row>
    <x:row r="27" ht="62" customHeight="1">
      <x:c r="A27" s="3" t="str">
        <x:v>필수 + 모터 가정</x:v>
      </x:c>
      <x:c r="B27" s="10" t="n">
        <x:f>D22+B26</x:f>
        <x:v>321150</x:v>
      </x:c>
      <x:c r="C27" s="10"/>
      <x:c r="D27" s="10"/>
      <x:c r="E27" s="3" t="str">
        <x:v>비교용 하드웨어 가정</x:v>
      </x:c>
      <x:c r="F27" s="11" t="n">
        <x:v>350000</x:v>
      </x:c>
      <x:c r="G27" s="3" t="str">
        <x:v>낮은 비교값. 실제 확정 견적 아님.</x:v>
      </x:c>
    </x:row>
    <x:row r="28" ht="62" customHeight="1">
      <x:c r="A28" s="3" t="str">
        <x:v>선택 포함 + 모터 가정</x:v>
      </x:c>
      <x:c r="B28" s="10" t="n">
        <x:f>D24+B26</x:f>
        <x:v>368550</x:v>
      </x:c>
      <x:c r="C28" s="10"/>
      <x:c r="D28" s="10"/>
      <x:c r="E28" s="3" t="str">
        <x:v>비교용 하드웨어 가정</x:v>
      </x:c>
      <x:c r="F28" s="11" t="n">
        <x:v>400000</x:v>
      </x:c>
      <x:c r="G28" s="3" t="str">
        <x:v>높은 비교값. 비용 상한/완성차 보장 아님.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35" hidden="0" customWidth="1"/>
    <x:col min="3" max="3" width="58.75" hidden="0" customWidth="1"/>
    <x:col min="4" max="4" width="46.880001068115234" hidden="0" customWidth="1"/>
  </x:cols>
  <x:sheetData>
    <x:row r="1" ht="34" customHeight="1">
      <x:c r="A1" s="5" t="str">
        <x:v>예산 조건별 협의안</x:v>
      </x:c>
      <x:c r="B1" s="3"/>
      <x:c r="C1" s="3"/>
      <x:c r="D1" s="3"/>
    </x:row>
    <x:row r="2" ht="34" customHeight="1">
      <x:c r="A2" s="7" t="str">
        <x:v>2026-09-05 사용자 메시지·첨부 Discord 캡처와 현재 공식 문서를 구분했습니다.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8" customHeight="1">
      <x:c r="A4" s="9" t="str">
        <x:v>조건</x:v>
      </x:c>
      <x:c r="B4" s="9" t="str">
        <x:v>대응 후보</x:v>
      </x:c>
      <x:c r="C4" s="9" t="str">
        <x:v>판단</x:v>
      </x:c>
      <x:c r="D4" s="9" t="str">
        <x:v>협의할 사항</x:v>
      </x:c>
    </x:row>
    <x:row r="5" ht="96" customHeight="1">
      <x:c r="A5" s="3" t="str">
        <x:v>총 30만 / 보유 불가</x:v>
      </x:c>
      <x:c r="B5" s="3" t="str">
        <x:v>완성차 견적 성립 보류</x:v>
      </x:c>
      <x:c r="C5" s="3" t="str">
        <x:v>필수 차체 221,150원 + 모터 10만 가정 = 321,150원. 센서 이전에 초과. 현재 설계 기준 증액 또는 부품 재설계 필요.</x:v>
      </x:c>
      <x:c r="D5" s="3" t="str">
        <x:v>제작 방식 전체가 불가능하다는 주장 대신 현 부품안의 부족액을 제시.</x:v>
      </x:c>
    </x:row>
    <x:row r="6" ht="96" customHeight="1">
      <x:c r="A6" s="3" t="str">
        <x:v>지원 30만 / 보유 허용</x:v>
      </x:c>
      <x:c r="B6" s="3" t="str">
        <x:v>B-4: 보유 D435i</x:v>
      </x:c>
      <x:c r="C6" s="3" t="str">
        <x:v>ToF4 센서140,800원. 차체와 구동부 비용을 더해야 합니다.</x:v>
      </x:c>
      <x:c r="D6" s="3" t="str">
        <x:v>보유 구동부 허용 및 평가 기준 확인.</x:v>
      </x:c>
    </x:row>
    <x:row r="7" ht="96" customHeight="1">
      <x:c r="A7" s="3" t="str">
        <x:v>총 60만 / 보유 허용</x:v>
      </x:c>
      <x:c r="B7" s="3" t="str">
        <x:v>B-4: 보유 D435i</x:v>
      </x:c>
      <x:c r="C7" s="3" t="str">
        <x:v>차체35~40만 포함490,800~540,800원.</x:v>
      </x:c>
      <x:c r="D7" s="3" t="str">
        <x:v>보유 D435i 사용 허용과 금액 산정 제외를 구분.</x:v>
      </x:c>
    </x:row>
    <x:row r="8" ht="96" customHeight="1">
      <x:c r="A8" s="3" t="str">
        <x:v>총 60만 / 보유 불가</x:v>
      </x:c>
      <x:c r="B8" s="3" t="str">
        <x:v>L1v-0: C1+OV2710 / ToF0</x:v>
      </x:c>
      <x:c r="C8" s="3" t="str">
        <x:v>센서162,360원. 차체 포함512,360~562,360원.</x:v>
      </x:c>
      <x:c r="D8" s="3" t="str">
        <x:v>낮은C1이 근접 영역을 감시한다는 전제. OV2710 720p60fps 미확인.</x:v>
      </x:c>
    </x:row>
    <x:row r="9" ht="110" customHeight="1">
      <x:c r="A9" s="3" t="str">
        <x:v>총 90만 / 보유 불가</x:v>
      </x:c>
      <x:c r="B9" s="3" t="str">
        <x:v>S2-4: OAK Lite 또는 SG2-4: Gemini2</x:v>
      </x:c>
      <x:c r="C9" s="3" t="str">
        <x:v>Lite+ToF4 센서525,701원, 차체 포함875,701~925,701원. Gemini2+ToF4는945,100~995,100원.</x:v>
      </x:c>
      <x:c r="D9" s="3" t="str">
        <x:v>Lite는IR 없음·노면 시험 조건. IR 탑재 Gemini335+ToF4는996,800~1,046,800원으로 예산 협의 필요.</x:v>
      </x:c>
    </x:row>
    <x:row r="10" ht="110" customHeight="1">
      <x:c r="A10" s="3" t="str">
        <x:v>지원 30만 + 자체 최대100만</x:v>
      </x:c>
      <x:c r="B10" s="3" t="str">
        <x:v>SG335L-4 / S5-4 또는 L3v-0</x:v>
      </x:c>
      <x:c r="C10" s="3" t="str">
        <x:v>Gemini335L+ToF4는 차체 포함1,095,800~1,145,800원. D436+ToF4는1,087,800~1,137,800원.</x:v>
      </x:c>
      <x:c r="D10" s="3" t="str">
        <x:v>D436 VAT 확인. S3+OV2710/ToF0은1,152,560~1,202,560원이며 RGB60fps 미확인.</x:v>
      </x:c>
    </x:row>
    <x:row r="11" ht="34" customHeight="1">
      <x:c r="A11" s="3"/>
      <x:c r="B11" s="3"/>
      <x:c r="C11" s="3"/>
      <x:c r="D11" s="3"/>
    </x:row>
    <x:row r="12" ht="94" customHeight="1">
      <x:c r="A12" s="3" t="str">
        <x:v>지원 30만원</x:v>
      </x:c>
      <x:c r="B12" s="3" t="str">
        <x:v>이번 계산의 전제</x:v>
      </x:c>
      <x:c r="C12" s="3" t="str">
        <x:v>공식 매뉴얼은 25~30만원, 첨부 9/5 메시지는 30만원 주문목록 요청. 새 전체 상한이 확정됐다는 근거는 아님.</x:v>
      </x:c>
      <x:c r="D12" s="3" t="str">
        <x:v>https://github.com/MOSW626/istech-it-arena/blob/main/MANUAL.md</x:v>
      </x:c>
    </x:row>
    <x:row r="13" ht="94" customHeight="1">
      <x:c r="A13" s="3" t="str">
        <x:v>추가 예산 상태</x:v>
      </x:c>
      <x:c r="B13" s="3" t="str">
        <x:v>공식 댓글 재조회</x:v>
      </x:c>
      <x:c r="C13" s="3" t="str">
        <x:v>9/2 운영진 댓글 외 새로운 합의 댓글을 확인하지 못함. 보유·대여·협찬 평가, 자체 예산 및 상한 범위는 협의 대상.</x:v>
      </x:c>
      <x:c r="D13" s="3" t="str">
        <x:v>https://github.com/MOSW626/istech-it-arena/issues/14#issuecomment-5506542288</x:v>
      </x:c>
    </x:row>
    <x:row r="14" ht="94" customHeight="1">
      <x:c r="A14" s="3" t="str">
        <x:v>공정성 선택지</x:v>
      </x:c>
      <x:c r="B14" s="3" t="str">
        <x:v>보유 금지 / 기준가 산정</x:v>
      </x:c>
      <x:c r="C14" s="3" t="str">
        <x:v>보유품 금지만이 편법 방지의 유일한 수단은 아님. 구매 시점과 무관하게 탑재품의 동일 기준가를 산정하는 안도 비교 가능.</x:v>
      </x:c>
      <x:c r="D14" s="3" t="str">
        <x:v>새 제안이며 공식 확정 규정 아님. 실지출·기준가·규정 산정가를 구분.</x:v>
      </x:c>
    </x:row>
    <x:row r="15" ht="94" customHeight="1">
      <x:c r="A15" s="3" t="str">
        <x:v>20 Hz와 30 FPS</x:v>
      </x:c>
      <x:c r="B15" s="3" t="str">
        <x:v>시간 간격에 따른 이동만 비교</x:v>
      </x:c>
      <x:c r="C15" s="3" t="str">
        <x:v>20 km/h에서 10 Hz 약55.6cm, 20 Hz 약27.8cm, 30 FPS 약18.5cm, 60 FPS 약9.3cm. 센서/처리 지연·제동거리·결측은 별도.</x:v>
      </x:c>
      <x:c r="D15" s="3" t="str">
        <x:v>S3 기본10Hz를20Hz로 설정·검증해야 함. 카메라는 선택 깊이 프로필의 실제 출력으로 비교.</x:v>
      </x:c>
    </x:row>
    <x:row r="16" ht="94" customHeight="1">
      <x:c r="A16" s="3" t="str">
        <x:v>스테레오의 교환조건</x:v>
      </x:c>
      <x:c r="B16" s="3" t="str">
        <x:v>OAK / Gemini / D436</x:v>
      </x:c>
      <x:c r="C16" s="3" t="str">
        <x:v>OAK는 수동 스테레오의 무늬 부족·조명 영향과 DepthAI 통합, Gemini는 Orbbec 통합, D436은 실제 RGB-D 정렬·Jetson 지연 검증 필요.</x:v>
      </x:c>
      <x:c r="D16" s="3" t="str">
        <x:v>https://docs.luxonis.com/hardware/platform/features/depth</x:v>
      </x:c>
    </x:row>
    <x:row r="17" ht="94" customHeight="1">
      <x:c r="A17" s="3" t="str">
        <x:v>LiDAR의 교환조건</x:v>
      </x:c>
      <x:c r="B17" s="3" t="str">
        <x:v>C1 / S3</x:v>
      </x:c>
      <x:c r="C17" s="3" t="str">
        <x:v>C1은 가격이 낮지만 대표10Hz. S3는20Hz·점밀도 개선 여지가 있으나 단일 높이와 순차취득 왜곡은 남음. RGB와 하단 ToF를 계속 산정.</x:v>
      </x:c>
      <x:c r="D17" s="3" t="str">
        <x:v>https://www.slamtec.com/en/s3/spec</x:v>
      </x:c>
    </x:row>
    <x:row r="18" ht="34" customHeight="1">
      <x:c r="A18" s="3"/>
      <x:c r="B18" s="3"/>
      <x:c r="C18" s="3"/>
      <x:c r="D18" s="3"/>
    </x:row>
    <x:row r="19" ht="100" customHeight="1">
      <x:c r="A19" s="3" t="str">
        <x:v>가성비 후보</x:v>
      </x:c>
      <x:c r="B19" s="3" t="str">
        <x:v>보유 D435i / 신규 Gemini335</x:v>
      </x:c>
      <x:c r="C19" s="3" t="str">
        <x:v>보유품 허용 시 D435i, 신규 가성비는 IR 탑재 Gemini335를 우선 비교합니다. Lite는 표면 시험을 전제로 한 저가안입니다.</x:v>
      </x:c>
      <x:c r="D19" s="3" t="str">
        <x:v>가격·사용 조건 확인 후 회의 후보로 선별합니다. 팀 구매 결정은 아닙니다.</x:v>
      </x:c>
    </x:row>
    <x:row r="20" ht="100" customHeight="1">
      <x:c r="A20" s="3" t="str">
        <x:v>상위 후보</x:v>
      </x:c>
      <x:c r="B20" s="3" t="str">
        <x:v>깊이 확장 총120만: D436+C1 / ToF0</x:v>
      </x:c>
      <x:c r="C20" s="3" t="str">
        <x:v>센서696,000원. 차체35~40만 포함1,046,000~1,096,000원. D436 VAT 별도면1,105,700~1,155,700원. 깊이 보조까지 확보할 때 지원30+자체90을 제안합니다.</x:v>
      </x:c>
      <x:c r="D20" s="3" t="str">
        <x:v>기존 모델과 팀 설계 결정은 변경하지 않음.</x:v>
      </x:c>
    </x:row>
    <x:row r="21" ht="100" customHeight="1">
      <x:c r="A21" s="3" t="str">
        <x:v>비교 범위</x:v>
      </x:c>
      <x:c r="B21" s="3" t="str">
        <x:v>20개 안: LiDAR0 / RGB·스테레오4</x:v>
      </x:c>
      <x:c r="C21" s="3" t="str">
        <x:v>혼합은 RGB-D 조향·낮은 LiDAR 근접 감시용입니다. 보유D435i+C1+차체35~40만은449,000~499,000원. 보유 허용 및 평가액 제외 조건입니다.</x:v>
      </x:c>
      <x:c r="D21" s="3" t="str">
        <x:v>ESP32-S3 잠정·배선 등 합계 제외. 구매 및 외부 게시를 하지 않은 검토안.</x:v>
      </x:c>
    </x:row>
    <x:row r="22" ht="100" customHeight="1">
      <x:c r="A22" s="3" t="str">
        <x:v>예산 제한 없음</x:v>
      </x:c>
      <x:c r="B22" s="3" t="str">
        <x:v>D436+S3 20Hz / ToF0</x:v>
      </x:c>
      <x:c r="C22" s="3" t="str">
        <x:v>센서1,336,200원. 차체35~40만 합산1,686,200~1,736,200원. D436 VAT 별도면1,745,900~1,795,900원으로 총180만 수준.</x:v>
      </x:c>
      <x:c r="D22" s="3" t="str">
        <x:v>현재 비교 후보 중 시험 우선안. 20Hz 충돌 회피·장착 가림과 D436 RGB 출력 조건은 검증 전입니다.</x:v>
      </x:c>
    </x:row>
    <x:row r="23" ht="100" customHeight="1">
      <x:c r="A23" s="3" t="str">
        <x:v>축소 협의</x:v>
      </x:c>
      <x:c r="B23" s="3" t="str">
        <x:v>총110만: Gemini335+ToF4</x:v>
      </x:c>
      <x:c r="C23" s="3" t="str">
        <x:v>센서646,800원. 차체35~40만 포함996,800~1,046,800원(VAT 포함). RGB 롤링 셔터와4개ToF 배치의 관측 범위를 수용하는 안입니다.</x:v>
      </x:c>
      <x:c r="D23" s="3" t="str">
        <x:v>120/110/180만원은 요청 기준이며 별도 부자재·예비비 항목을 더한 금액이 아닙니다. 차체는 미확정 가정입니다.</x:v>
      </x:c>
    </x:row>
    <x:row r="24" ht="100" customHeight="1">
      <x:c r="A24" s="3" t="str">
        <x:v>RGB 기본안</x:v>
      </x:c>
      <x:c r="B24" s="3" t="str">
        <x:v>총60만 협의: C1+RGB / ToF0</x:v>
      </x:c>
      <x:c r="C24" s="3" t="str">
        <x:v>OV2710안 차체 포함512,360~562,360원. B0385안545,360~595,360원. RGB 주행·근접 감시를 분리하는 후보이며 저가카메라60fps/재고와 RGB 경로 유지를 확인합니다.</x:v>
      </x:c>
      <x:c r="D24" s="3" t="str">
        <x:v>깊이가 반드시 필요하다는 전제는 재검토합니다. RGB+ToF4안도 별도 비교하며 RGB 단독 조향의 실차 성공이나 충돌 방지를 보증하지 않습니다.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30000114440918" hidden="0" customWidth="1"/>
    <x:col min="2" max="2" width="35.630001068115234" hidden="0" customWidth="1"/>
    <x:col min="3" max="3" width="9" hidden="0" customWidth="1"/>
    <x:col min="4" max="4" width="14.75" hidden="0" customWidth="1"/>
    <x:col min="5" max="5" width="16" hidden="0" customWidth="1"/>
    <x:col min="6" max="6" width="16" hidden="0" customWidth="1"/>
    <x:col min="7" max="7" width="52.5" hidden="0" customWidth="1"/>
  </x:cols>
  <x:sheetData>
    <x:row r="1" ht="43" customHeight="1">
      <x:c r="A1" s="35" t="str">
        <x:v>센서 합계가 낮은 순서</x:v>
      </x:c>
      <x:c r="B1" s="3"/>
      <x:c r="C1" s="3"/>
      <x:c r="D1" s="3"/>
      <x:c r="E1" s="3"/>
      <x:c r="F1" s="3"/>
      <x:c r="G1" s="3"/>
    </x:row>
    <x:row r="2" ht="37" customHeight="1">
      <x:c r="A2" s="36" t="str">
        <x:v>구성 비교의 20개 안을 자동 정렬합니다. 표시가 기준이며 RealSense 세금 미확정·품절 조건은 코멘트를 함께 확인합니다.</x:v>
      </x:c>
      <x:c r="B2" s="3"/>
      <x:c r="C2" s="3"/>
      <x:c r="D2" s="3"/>
      <x:c r="E2" s="3"/>
      <x:c r="F2" s="3"/>
      <x:c r="G2" s="3"/>
    </x:row>
    <x:row r="3" ht="16" customHeight="1">
      <x:c r="A3" s="3"/>
      <x:c r="B3" s="3"/>
      <x:c r="C3" s="3"/>
      <x:c r="D3" s="3"/>
      <x:c r="E3" s="3"/>
      <x:c r="F3" s="3"/>
      <x:c r="G3" s="3"/>
    </x:row>
    <x:row r="4" ht="40" customHeight="1">
      <x:c r="A4" s="60" t="str">
        <x:v>안</x:v>
      </x:c>
      <x:c r="B4" s="60" t="str">
        <x:v>센서 구성</x:v>
      </x:c>
      <x:c r="C4" s="60" t="str">
        <x:v>ToF 수량</x:v>
      </x:c>
      <x:c r="D4" s="60" t="str">
        <x:v>센서 합계</x:v>
      </x:c>
      <x:c r="E4" s="60" t="str">
        <x:v>차체 35만 합산</x:v>
      </x:c>
      <x:c r="F4" s="60" t="str">
        <x:v>차체 40만 합산</x:v>
      </x:c>
      <x:c r="G4" s="60" t="str">
        <x:v>코멘트</x:v>
      </x:c>
    </x:row>
    <x:row r="5" ht="82" customHeight="1">
      <x:c r="A5" s="61" t="str" cm="1">
        <x:f t="array" ref="A5:G24">_xlfn._xlws.SORT('구성 비교'!A5:G24,4,1)</x:f>
        <x:v>L2-0</x:v>
      </x:c>
      <x:c r="B5" s="61" t="str">
        <x:v>C1 + 보유 D435i / ToF 없음</x:v>
      </x:c>
      <x:c r="C5" s="61" t="n">
        <x:v>0</x:v>
      </x:c>
      <x:c r="D5" s="65" t="n">
        <x:v>99000</x:v>
      </x:c>
      <x:c r="E5" s="62" t="n">
        <x:v>449000</x:v>
      </x:c>
      <x:c r="F5" s="62" t="n">
        <x:v>499000</x:v>
      </x:c>
      <x:c r="G5" s="61" t="str">
        <x:v>재사용 허용 시 저비용 혼합안. 전방 RGB-D로 조향하고 낮은 C1으로 근접 차량을 감시합니다. C1은 조향용이 아니며 10Hz 충돌 회피 성능은 미검증입니다. 저상 수평층 개방 배치 검토.</x:v>
      </x:c>
    </x:row>
    <x:row r="6" ht="82" customHeight="1">
      <x:c r="A6" s="63" t="str">
        <x:v>B-4</x:v>
      </x:c>
      <x:c r="B6" s="63" t="str">
        <x:v>보유 D435i + ToF 4</x:v>
      </x:c>
      <x:c r="C6" s="63" t="n">
        <x:v>4</x:v>
      </x:c>
      <x:c r="D6" s="65" t="n">
        <x:v>140800</x:v>
      </x:c>
      <x:c r="E6" s="64" t="n">
        <x:v>490800</x:v>
      </x:c>
      <x:c r="F6" s="64" t="n">
        <x:v>540800</x:v>
      </x:c>
      <x:c r="G6" s="63" t="str">
        <x:v>재사용 허용 시 지출 최소. IR 탑재. 보유품의 규정 평가액은 별도이며 RGB는 롤링 셔터입니다. ToF4는 좌우 측면 보완용. 무사각 보증은 아님.</x:v>
      </x:c>
    </x:row>
    <x:row r="7" ht="82" customHeight="1">
      <x:c r="A7" s="61" t="str">
        <x:v>L1v-0</x:v>
      </x:c>
      <x:c r="B7" s="61" t="str">
        <x:v>C1 + OV2710† / ToF 없음</x:v>
      </x:c>
      <x:c r="C7" s="61" t="n">
        <x:v>0</x:v>
      </x:c>
      <x:c r="D7" s="65" t="n">
        <x:v>162360</x:v>
      </x:c>
      <x:c r="E7" s="62" t="n">
        <x:v>512360</x:v>
      </x:c>
      <x:c r="F7" s="62" t="n">
        <x:v>562360</x:v>
      </x:c>
      <x:c r="G7" s="61" t="str">
        <x:v>저가 RGB 주행 후보로도 검토. RGB가 경로를 찾고 낮은C1이 근접을 감시할 수 있습니다. RGB720p60은 미확인. 경로 가림과10Hz 반응·차체 가림 검증이 필요합니다. 저상 수평층 개방 배치 검토.</x:v>
      </x:c>
    </x:row>
    <x:row r="8" ht="82" customHeight="1">
      <x:c r="A8" s="63" t="str">
        <x:v>L1-0</x:v>
      </x:c>
      <x:c r="B8" s="63" t="str">
        <x:v>C1 + B0385* / ToF 없음</x:v>
      </x:c>
      <x:c r="C8" s="63" t="n">
        <x:v>0</x:v>
      </x:c>
      <x:c r="D8" s="65" t="n">
        <x:v>195360</x:v>
      </x:c>
      <x:c r="E8" s="64" t="n">
        <x:v>545360</x:v>
      </x:c>
      <x:c r="F8" s="64" t="n">
        <x:v>595360</x:v>
      </x:c>
      <x:c r="G8" s="63" t="str">
        <x:v>글로벌 셔터 RGB 주행 후보로도 검토. RGB 경로 인식·낮은C1 근접 감시의 역할 분리가 가능하나 B0385는 국내 품절 비교가입니다. 10Hz 반응·가림 검증 필요. 저상 수평층 개방 배치 검토.</x:v>
      </x:c>
    </x:row>
    <x:row r="9" ht="82" customHeight="1">
      <x:c r="A9" s="61" t="str">
        <x:v>RV-4</x:v>
      </x:c>
      <x:c r="B9" s="61" t="str">
        <x:v>OV2710 RGB 단독† + ToF 4</x:v>
      </x:c>
      <x:c r="C9" s="61" t="n">
        <x:v>4</x:v>
      </x:c>
      <x:c r="D9" s="65" t="n">
        <x:v>204160</x:v>
      </x:c>
      <x:c r="E9" s="62" t="n">
        <x:v>554160</x:v>
      </x:c>
      <x:c r="F9" s="62" t="n">
        <x:v>604160</x:v>
      </x:c>
      <x:c r="G9" s="61" t="str">
        <x:v>국내 저가 RGB 주행안. RGB로 노면·경로·마커를 인식하고 측면 ToF로 근접 간격을 감시합니다. 720p60 출력은 미확인. 전방 앞차 가림·깊이 없는 거리 판단을 검증해야 합니다. ToF4는 좌우 측면 보완용. 무사각 보증은 아님.</x:v>
      </x:c>
    </x:row>
    <x:row r="10" ht="82" customHeight="1">
      <x:c r="A10" s="63" t="str">
        <x:v>RA-4</x:v>
      </x:c>
      <x:c r="B10" s="63" t="str">
        <x:v>B0385 RGB 단독* + ToF 4</x:v>
      </x:c>
      <x:c r="C10" s="63" t="n">
        <x:v>4</x:v>
      </x:c>
      <x:c r="D10" s="65" t="n">
        <x:v>237160</x:v>
      </x:c>
      <x:c r="E10" s="64" t="n">
        <x:v>587160</x:v>
      </x:c>
      <x:c r="F10" s="64" t="n">
        <x:v>637160</x:v>
      </x:c>
      <x:c r="G10" s="63" t="str">
        <x:v>글로벌 셔터 RGB 주행안. 사용자120fps 경험이 있으나 당시 프로필은 미확인, 국내 품절 비교가입니다. 측면 ToF4 밖의 전방·후방 관측 공백은 별도 검토합니다. ToF4는 좌우 측면 보완용. 무사각 보증은 아님.</x:v>
      </x:c>
    </x:row>
    <x:row r="11" ht="82" customHeight="1">
      <x:c r="A11" s="61" t="str">
        <x:v>S2-4</x:v>
      </x:c>
      <x:c r="B11" s="61" t="str">
        <x:v>OAK-D Lite FF + ToF 4</x:v>
      </x:c>
      <x:c r="C11" s="61" t="n">
        <x:v>4</x:v>
      </x:c>
      <x:c r="D11" s="65" t="n">
        <x:v>525701</x:v>
      </x:c>
      <x:c r="E11" s="62" t="n">
        <x:v>875701</x:v>
      </x:c>
      <x:c r="F11" s="62" t="n">
        <x:v>925701</x:v>
      </x:c>
      <x:c r="G11" s="61" t="str">
        <x:v>저가 조건부 안. IR 프로젝터 없음, 깊이용 입력 480p, RGB 최대35fps. 무늬 적은 노면의 깊이 시험이 선행되어야 합니다. ToF4는 좌우 측면 보완용. 무사각 보증은 아님.</x:v>
      </x:c>
    </x:row>
    <x:row r="12" ht="82" customHeight="1">
      <x:c r="A12" s="63" t="str">
        <x:v>SG2-4</x:v>
      </x:c>
      <x:c r="B12" s="63" t="str">
        <x:v>Gemini 2 + ToF 4</x:v>
      </x:c>
      <x:c r="C12" s="63" t="n">
        <x:v>4</x:v>
      </x:c>
      <x:c r="D12" s="65" t="n">
        <x:v>595100</x:v>
      </x:c>
      <x:c r="E12" s="64" t="n">
        <x:v>945100</x:v>
      </x:c>
      <x:c r="F12" s="64" t="n">
        <x:v>995100</x:v>
      </x:c>
      <x:c r="G12" s="63" t="str">
        <x:v>저가 IR 탑재안. 실내 우선 모델입니다. Gemini335보다 51,700원 저렴하므로 절감액과 처리 프로필을 함께 비교합니다. ToF4는 좌우 측면 보완용. 무사각 보증은 아님.</x:v>
      </x:c>
    </x:row>
    <x:row r="13" ht="82" customHeight="1">
      <x:c r="A13" s="61" t="str">
        <x:v>S3-4</x:v>
      </x:c>
      <x:c r="B13" s="61" t="str">
        <x:v>Gemini 335 + ToF 4</x:v>
      </x:c>
      <x:c r="C13" s="61" t="n">
        <x:v>4</x:v>
      </x:c>
      <x:c r="D13" s="65" t="n">
        <x:v>646800</x:v>
      </x:c>
      <x:c r="E13" s="62" t="n">
        <x:v>996800</x:v>
      </x:c>
      <x:c r="F13" s="62" t="n">
        <x:v>1046800</x:v>
      </x:c>
      <x:c r="G13" s="61" t="str">
        <x:v>신규 가성비 우선 후보. IR·능동/수동 깊이와 848×480@60fps 프로필이 장점입니다. RGB는 롤링 셔터입니다. ToF4는 좌우 측면 보완용. 무사각 보증은 아님.</x:v>
      </x:c>
    </x:row>
    <x:row r="14" ht="82" customHeight="1">
      <x:c r="A14" s="63" t="str">
        <x:v>H-0</x:v>
      </x:c>
      <x:c r="B14" s="63" t="str">
        <x:v>D436 + C1 / ToF 없음</x:v>
      </x:c>
      <x:c r="C14" s="63" t="n">
        <x:v>0</x:v>
      </x:c>
      <x:c r="D14" s="65" t="n">
        <x:v>696000</x:v>
      </x:c>
      <x:c r="E14" s="64" t="n">
        <x:v>1046000</x:v>
      </x:c>
      <x:c r="F14" s="64" t="n">
        <x:v>1096000</x:v>
      </x:c>
      <x:c r="G14" s="63" t="str">
        <x:v>신규 혼합 우선 검토안. 전방 RGB-D 조향, 낮은 C1 근접 감시. ToF를 생략해 D436+ToF4보다41,800원 저렴합니다. 10Hz·차체/바퀴 가림 시험 및 VAT 확인. 저상 수평층 개방 배치 검토.</x:v>
      </x:c>
    </x:row>
    <x:row r="15" ht="82" customHeight="1">
      <x:c r="A15" s="61" t="str">
        <x:v>S4-4</x:v>
      </x:c>
      <x:c r="B15" s="61" t="str">
        <x:v>신규 D435i + ToF 4</x:v>
      </x:c>
      <x:c r="C15" s="61" t="n">
        <x:v>4</x:v>
      </x:c>
      <x:c r="D15" s="65" t="n">
        <x:v>703800</x:v>
      </x:c>
      <x:c r="E15" s="62" t="n">
        <x:v>1053800</x:v>
      </x:c>
      <x:c r="F15" s="62" t="n">
        <x:v>1103800</x:v>
      </x:c>
      <x:c r="G15" s="61" t="str">
        <x:v>보유품과 같은 개발 환경이 장점입니다. 표시가가 D436과34,000원 차이여서 신규 구매 우선순위는 낮습니다. VAT 확인. ToF4는 좌우 측면 보완용. 무사각 보증은 아님.</x:v>
      </x:c>
    </x:row>
    <x:row r="16" ht="82" customHeight="1">
      <x:c r="A16" s="63" t="str">
        <x:v>S5-4</x:v>
      </x:c>
      <x:c r="B16" s="63" t="str">
        <x:v>D436 + ToF 4</x:v>
      </x:c>
      <x:c r="C16" s="63" t="n">
        <x:v>4</x:v>
      </x:c>
      <x:c r="D16" s="65" t="n">
        <x:v>737800</x:v>
      </x:c>
      <x:c r="E16" s="64" t="n">
        <x:v>1087800</x:v>
      </x:c>
      <x:c r="F16" s="64" t="n">
        <x:v>1137800</x:v>
      </x:c>
      <x:c r="G16" s="63" t="str">
        <x:v>근접 깊이·기존 RealSense 작업 활용 우선 후보. RGB 글로벌 셔터, 상세 표의60fps는848×480입니다. 상품 최대1280×800의fps 조합은 미확인. VAT 확인. ToF4는 좌우 측면 보완용. 무사각 보증은 아님.</x:v>
      </x:c>
    </x:row>
    <x:row r="17" ht="82" customHeight="1">
      <x:c r="A17" s="61" t="str">
        <x:v>SG335L-4</x:v>
      </x:c>
      <x:c r="B17" s="61" t="str">
        <x:v>Gemini 335L + ToF 4</x:v>
      </x:c>
      <x:c r="C17" s="61" t="n">
        <x:v>4</x:v>
      </x:c>
      <x:c r="D17" s="65" t="n">
        <x:v>745800</x:v>
      </x:c>
      <x:c r="E17" s="62" t="n">
        <x:v>1095800</x:v>
      </x:c>
      <x:c r="F17" s="62" t="n">
        <x:v>1145800</x:v>
      </x:c>
      <x:c r="G17" s="61" t="str">
        <x:v>RGB 1280×800@60fps 글로벌 셔터가 장점. 깊이848×480의 최소거리는34cm로 D436의19.5cm보다 깁니다. 17cm는 저해상도 조건입니다. ToF4는 좌우 측면 보완용. 무사각 보증은 아님.</x:v>
      </x:c>
    </x:row>
    <x:row r="18" ht="82" customHeight="1">
      <x:c r="A18" s="63" t="str">
        <x:v>SO2-4</x:v>
      </x:c>
      <x:c r="B18" s="63" t="str">
        <x:v>OAK-D S2 FF + ToF 4</x:v>
      </x:c>
      <x:c r="C18" s="63" t="n">
        <x:v>4</x:v>
      </x:c>
      <x:c r="D18" s="65" t="n">
        <x:v>789800</x:v>
      </x:c>
      <x:c r="E18" s="64" t="n">
        <x:v>1139800</x:v>
      </x:c>
      <x:c r="F18" s="64" t="n">
        <x:v>1189800</x:v>
      </x:c>
      <x:c r="G18" s="63" t="str">
        <x:v>800p 스테레오 입력의 OAK 비교안. IR 프로젝터가 없어 Lite의 무늬 부족 문제를 해결하는 업그레이드는 아닙니다. ToF4는 좌우 측면 보완용. 무사각 보증은 아님.</x:v>
      </x:c>
    </x:row>
    <x:row r="19" ht="82" customHeight="1">
      <x:c r="A19" s="61" t="str">
        <x:v>L3v-0</x:v>
      </x:c>
      <x:c r="B19" s="61" t="str">
        <x:v>RPLIDAR S3 20Hz + OV2710† / ToF 없음</x:v>
      </x:c>
      <x:c r="C19" s="61" t="n">
        <x:v>0</x:v>
      </x:c>
      <x:c r="D19" s="65" t="n">
        <x:v>802560</x:v>
      </x:c>
      <x:c r="E19" s="62" t="n">
        <x:v>1152560</x:v>
      </x:c>
      <x:c r="F19" s="62" t="n">
        <x:v>1202560</x:v>
      </x:c>
      <x:c r="G19" s="61" t="str">
        <x:v>빠른 회전 LiDAR 비교안. 20Hz는 S3 지원 범위의 상단이며 설정·실효 스캔을 확인해야 합니다. RGB60fps 조건도 미확인입니다. 저상 수평층 개방 배치 검토.</x:v>
      </x:c>
    </x:row>
    <x:row r="20" ht="82" customHeight="1">
      <x:c r="A20" s="63" t="str">
        <x:v>L3-0</x:v>
      </x:c>
      <x:c r="B20" s="63" t="str">
        <x:v>RPLIDAR S3 20Hz + B0385* / ToF 없음</x:v>
      </x:c>
      <x:c r="C20" s="63" t="n">
        <x:v>0</x:v>
      </x:c>
      <x:c r="D20" s="65" t="n">
        <x:v>835560</x:v>
      </x:c>
      <x:c r="E20" s="64" t="n">
        <x:v>1185560</x:v>
      </x:c>
      <x:c r="F20" s="64" t="n">
        <x:v>1235560</x:v>
      </x:c>
      <x:c r="G20" s="63" t="str">
        <x:v>빠른 회전 LiDAR와 글로벌 셔터 RGB 비교안. B0385는 품절이며 실제 스캔·영상 지연 검증이 필요합니다. 저상 수평층 개방 배치 검토.</x:v>
      </x:c>
    </x:row>
    <x:row r="21" ht="82" customHeight="1">
      <x:c r="A21" s="61" t="str">
        <x:v>SD455-4</x:v>
      </x:c>
      <x:c r="B21" s="61" t="str">
        <x:v>D455 + ToF 4</x:v>
      </x:c>
      <x:c r="C21" s="61" t="n">
        <x:v>4</x:v>
      </x:c>
      <x:c r="D21" s="65" t="n">
        <x:v>850800</x:v>
      </x:c>
      <x:c r="E21" s="62" t="n">
        <x:v>1200800</x:v>
      </x:c>
      <x:c r="F21" s="62" t="n">
        <x:v>1250800</x:v>
      </x:c>
      <x:c r="G21" s="61" t="str">
        <x:v>원거리 비교안. RGB 글로벌 셔터1280×800@30fps, 저해상도640×360@90fps. 깊이848×480 최소35cm로 근접 관측 조건 확인. VAT 확인. ToF4는 좌우 측면 보완용. 무사각 보증은 아님.</x:v>
      </x:c>
    </x:row>
    <x:row r="22" ht="82" customHeight="1">
      <x:c r="A22" s="63" t="str">
        <x:v>SOP-4</x:v>
      </x:c>
      <x:c r="B22" s="63" t="str">
        <x:v>OAK-D Pro FF / IMX378 + ToF 4</x:v>
      </x:c>
      <x:c r="C22" s="63" t="n">
        <x:v>4</x:v>
      </x:c>
      <x:c r="D22" s="65" t="n">
        <x:v>993300</x:v>
      </x:c>
      <x:c r="E22" s="64" t="n">
        <x:v>1343300</x:v>
      </x:c>
      <x:c r="F22" s="64" t="n">
        <x:v>1393300</x:v>
      </x:c>
      <x:c r="G22" s="63" t="str">
        <x:v>IR 점무늬·투광기와 장치 내 처리가 필요한 상위 OAK안. RGB는 롤링 셔터입니다. 전원·가격을 고려하면 회의 본문 우선순위는 낮습니다. ToF4는 좌우 측면 보완용. 무사각 보증은 아님.</x:v>
      </x:c>
    </x:row>
    <x:row r="23" ht="82" customHeight="1">
      <x:c r="A23" s="61" t="str">
        <x:v>SOPG-4</x:v>
      </x:c>
      <x:c r="B23" s="61" t="str">
        <x:v>OAK-D Pro FF-97 / OV9782 + ToF 4</x:v>
      </x:c>
      <x:c r="C23" s="61" t="n">
        <x:v>4</x:v>
      </x:c>
      <x:c r="D23" s="65" t="n">
        <x:v>1086800</x:v>
      </x:c>
      <x:c r="E23" s="62" t="n">
        <x:v>1436800</x:v>
      </x:c>
      <x:c r="F23" s="62" t="n">
        <x:v>1486800</x:v>
      </x:c>
      <x:c r="G23" s="61" t="str">
        <x:v>IR과 RGB 글로벌 셔터를 모두 갖춘 상위 OAK안. 고속 RGB 센서 입력이 깊이·인식 처리율을 뜻하지 않으며 추가 비용이 큽니다. ToF4는 좌우 측면 보완용. 무사각 보증은 아님.</x:v>
      </x:c>
    </x:row>
    <x:row r="24" ht="82" customHeight="1">
      <x:c r="A24" s="63" t="str">
        <x:v>Hfast-0</x:v>
      </x:c>
      <x:c r="B24" s="63" t="str">
        <x:v>D436 + RPLIDAR S3 20Hz / ToF 없음</x:v>
      </x:c>
      <x:c r="C24" s="63" t="n">
        <x:v>0</x:v>
      </x:c>
      <x:c r="D24" s="65" t="n">
        <x:v>1336200</x:v>
      </x:c>
      <x:c r="E24" s="64" t="n">
        <x:v>1686200</x:v>
      </x:c>
      <x:c r="F24" s="64" t="n">
        <x:v>1736200</x:v>
      </x:c>
      <x:c r="G24" s="63" t="str">
        <x:v>예산 제한이 없을 때 우선 시험할 혼합안. 전방 RGB-D 조향, 낮은 S3 근접 감시. C1보다640,200원 높으며 20Hz에서 각 간격0.225°. 가림·최종 지연·VAT 확인. 저상 수평층 개방 배치 검토.</x:v>
      </x:c>
    </x:row>
    <x:row r="25" ht="82" customHeight="1">
      <x:c r="A25" s="3"/>
      <x:c r="B25" s="3"/>
      <x:c r="C25" s="3"/>
      <x:c r="D25" s="3"/>
      <x:c r="E25" s="3"/>
      <x:c r="F25" s="3"/>
      <x:c r="G25" s="3"/>
    </x:row>
    <x:row r="26" ht="45" customHeight="1">
      <x:c r="A26" s="3" t="str">
        <x:v>정렬 기준: 센서 합계 오름차순. 세금·배송·보유품 평가 조건은 구성 비교 하단과 단가와 출처를 확인합니다. Excel 365/2021 이상 SORT 함수 사용.</x:v>
      </x:c>
      <x:c r="B26" s="3"/>
      <x:c r="C26" s="3"/>
      <x:c r="D26" s="3"/>
      <x:c r="E26" s="3"/>
      <x:c r="F26" s="3"/>
      <x:c r="G26" s="3"/>
    </x:row>
    <x:row r="27" ht="82" customHeight="1">
      <x:c r="A27" s="3"/>
      <x:c r="B27" s="3"/>
      <x:c r="C27" s="3"/>
      <x:c r="D27" s="3"/>
      <x:c r="E27" s="3"/>
      <x:c r="F27" s="3"/>
      <x:c r="G27" s="3"/>
    </x:row>
    <x:row r="28" ht="82" customHeight="1">
      <x:c r="A28" s="3"/>
      <x:c r="B28" s="3"/>
      <x:c r="C28" s="3"/>
      <x:c r="D28" s="3"/>
      <x:c r="E28" s="3"/>
      <x:c r="F28" s="3"/>
      <x:c r="G28" s="3"/>
    </x:row>
    <x:row r="29" ht="82" customHeight="1">
      <x:c r="A29" s="3"/>
      <x:c r="B29" s="3"/>
      <x:c r="C29" s="3"/>
      <x:c r="D29" s="3"/>
      <x:c r="E29" s="3"/>
      <x:c r="F29" s="3"/>
      <x:c r="G29" s="3"/>
    </x:row>
    <x:row r="30" ht="82" customHeight="1">
      <x:c r="A30" s="3"/>
      <x:c r="B30" s="3"/>
      <x:c r="C30" s="3"/>
      <x:c r="D30" s="3"/>
      <x:c r="E30" s="3"/>
      <x:c r="F30" s="3"/>
      <x:c r="G30" s="3"/>
    </x:row>
    <x:row r="31" ht="82" customHeight="1">
      <x:c r="A31" s="3"/>
      <x:c r="B31" s="3"/>
      <x:c r="C31" s="3"/>
      <x:c r="D31" s="3"/>
      <x:c r="E31" s="3"/>
      <x:c r="F31" s="3"/>
      <x:c r="G31" s="3"/>
    </x:row>
    <x:row r="32" ht="82" customHeight="1">
      <x:c r="A32" s="3"/>
      <x:c r="B32" s="3"/>
      <x:c r="C32" s="3"/>
      <x:c r="D32" s="3"/>
      <x:c r="E32" s="3"/>
      <x:c r="F32" s="3"/>
      <x:c r="G32" s="3"/>
    </x:row>
    <x:row r="33" ht="82" customHeight="1">
      <x:c r="A33" s="3"/>
      <x:c r="B33" s="3"/>
      <x:c r="C33" s="3"/>
      <x:c r="D33" s="3"/>
      <x:c r="E33" s="3"/>
      <x:c r="F33" s="3"/>
      <x:c r="G33" s="3"/>
    </x:row>
    <x:row r="34" ht="82" customHeight="1">
      <x:c r="A34" s="3"/>
      <x:c r="B34" s="3"/>
      <x:c r="C34" s="3"/>
      <x:c r="D34" s="3"/>
      <x:c r="E34" s="3"/>
      <x:c r="F34" s="3"/>
      <x:c r="G34" s="3"/>
    </x:row>
    <x:row r="35" ht="82" customHeight="1">
      <x:c r="A35" s="3"/>
      <x:c r="B35" s="3"/>
      <x:c r="C35" s="3"/>
      <x:c r="D35" s="3"/>
      <x:c r="E35" s="3"/>
      <x:c r="F35" s="3"/>
      <x:c r="G35" s="3"/>
    </x:row>
    <x:row r="36" ht="82" customHeight="1">
      <x:c r="A36" s="3"/>
      <x:c r="B36" s="3"/>
      <x:c r="C36" s="3"/>
      <x:c r="D36" s="3"/>
      <x:c r="E36" s="3"/>
      <x:c r="F36" s="3"/>
      <x:c r="G36" s="3"/>
    </x:row>
    <x:row r="37" ht="82" customHeight="1">
      <x:c r="A37" s="3"/>
      <x:c r="B37" s="3"/>
      <x:c r="C37" s="3"/>
      <x:c r="D37" s="3"/>
      <x:c r="E37" s="3"/>
      <x:c r="F37" s="3"/>
      <x:c r="G37" s="3"/>
    </x:row>
    <x:row r="38" ht="82" customHeight="1">
      <x:c r="A38" s="3"/>
      <x:c r="B38" s="3"/>
      <x:c r="C38" s="3"/>
      <x:c r="D38" s="3"/>
      <x:c r="E38" s="3"/>
      <x:c r="F38" s="3"/>
      <x:c r="G38" s="3"/>
    </x:row>
    <x:row r="39" ht="82" customHeight="1">
      <x:c r="A39" s="3"/>
      <x:c r="B39" s="3"/>
      <x:c r="C39" s="3"/>
      <x:c r="D39" s="3"/>
      <x:c r="E39" s="3"/>
      <x:c r="F39" s="3"/>
      <x:c r="G39" s="3"/>
    </x:row>
    <x:row r="40" ht="82" customHeight="1">
      <x:c r="A40" s="3"/>
      <x:c r="B40" s="3"/>
      <x:c r="C40" s="3"/>
      <x:c r="D40" s="3"/>
      <x:c r="E40" s="3"/>
      <x:c r="F40" s="3"/>
      <x:c r="G40" s="3"/>
    </x:row>
    <x:row r="41" ht="82" customHeight="1">
      <x:c r="A41" s="3"/>
      <x:c r="B41" s="3"/>
      <x:c r="C41" s="3"/>
      <x:c r="D41" s="3"/>
      <x:c r="E41" s="3"/>
      <x:c r="F41" s="3"/>
      <x:c r="G41" s="3"/>
    </x:row>
    <x:row r="42" ht="82" customHeight="1">
      <x:c r="A42" s="3"/>
      <x:c r="B42" s="3"/>
      <x:c r="C42" s="3"/>
      <x:c r="D42" s="3"/>
      <x:c r="E42" s="3"/>
      <x:c r="F42" s="3"/>
      <x:c r="G42" s="3"/>
    </x:row>
    <x:row r="43" ht="82" customHeight="1">
      <x:c r="A43" s="3"/>
      <x:c r="B43" s="3"/>
      <x:c r="C43" s="3"/>
      <x:c r="D43" s="3"/>
      <x:c r="E43" s="3"/>
      <x:c r="F43" s="3"/>
      <x:c r="G43" s="3"/>
    </x:row>
    <x:row r="44" ht="82" customHeight="1">
      <x:c r="A44" s="3"/>
      <x:c r="B44" s="3"/>
      <x:c r="C44" s="3"/>
      <x:c r="D44" s="3"/>
      <x:c r="E44" s="3"/>
      <x:c r="F44" s="3"/>
      <x:c r="G44" s="3"/>
    </x:row>
    <x:row r="45" ht="82" customHeight="1">
      <x:c r="A45" s="3"/>
      <x:c r="B45" s="3"/>
      <x:c r="C45" s="3"/>
      <x:c r="D45" s="3"/>
      <x:c r="E45" s="3"/>
      <x:c r="F45" s="3"/>
      <x:c r="G45" s="3"/>
    </x:row>
    <x:row r="46" ht="82" customHeight="1">
      <x:c r="A46" s="3"/>
      <x:c r="B46" s="3"/>
      <x:c r="C46" s="3"/>
      <x:c r="D46" s="3"/>
      <x:c r="E46" s="3"/>
      <x:c r="F46" s="3"/>
      <x:c r="G46" s="3"/>
    </x:row>
    <x:row r="47" ht="82" customHeight="1">
      <x:c r="A47" s="3"/>
      <x:c r="B47" s="3"/>
      <x:c r="C47" s="3"/>
      <x:c r="D47" s="3"/>
      <x:c r="E47" s="3"/>
      <x:c r="F47" s="3"/>
      <x:c r="G47" s="3"/>
    </x:row>
    <x:row r="48" ht="82" customHeight="1">
      <x:c r="A48" s="3"/>
      <x:c r="B48" s="3"/>
      <x:c r="C48" s="3"/>
      <x:c r="D48" s="3"/>
      <x:c r="E48" s="3"/>
      <x:c r="F48" s="3"/>
      <x:c r="G48" s="3"/>
    </x:row>
  </x:sheetData>
  <x:mergeCells>
    <x:mergeCell ref="A1:G1"/>
    <x:mergeCell ref="A2:G2"/>
    <x:mergeCell ref="A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.3799991607666" hidden="0" customWidth="1"/>
    <x:col min="2" max="2" width="13.130000114440918" hidden="0" customWidth="1"/>
    <x:col min="3" max="3" width="29.6299991607666" hidden="0" customWidth="1"/>
    <x:col min="4" max="4" width="25.6299991607666" hidden="0" customWidth="1"/>
    <x:col min="5" max="5" width="28.25" hidden="0" customWidth="1"/>
    <x:col min="6" max="6" width="27.25" hidden="0" customWidth="1"/>
    <x:col min="7" max="7" width="27.25" hidden="0" customWidth="1"/>
    <x:col min="8" max="8" width="41.25" hidden="0" customWidth="1"/>
    <x:col min="9" max="9" width="42.5" hidden="0" customWidth="1"/>
  </x:cols>
  <x:sheetData>
    <x:row r="1" ht="43" customHeight="1">
      <x:c r="A1" s="35" t="str">
        <x:v>스테레오 카메라 거리와 출력 모드</x:v>
      </x:c>
      <x:c r="B1" s="3"/>
      <x:c r="C1" s="3"/>
      <x:c r="D1" s="3"/>
      <x:c r="E1" s="3"/>
      <x:c r="F1" s="3"/>
      <x:c r="G1" s="3"/>
      <x:c r="H1" s="3"/>
      <x:c r="I1" s="3"/>
    </x:row>
    <x:row r="2" ht="37" customHeight="1">
      <x:c r="A2" s="36" t="str">
        <x:v>2026-09-06 갱신 · 해상도는 가로×세로 픽셀 · @ 뒤는 해당 해상도의 fps · RGB/깊이 개별 모드이며 동시 출력 보증과 구분합니다.</x:v>
      </x:c>
      <x:c r="B2" s="3"/>
      <x:c r="C2" s="3"/>
      <x:c r="D2" s="3"/>
      <x:c r="E2" s="3"/>
      <x:c r="F2" s="3"/>
      <x:c r="G2" s="3"/>
      <x:c r="H2" s="3"/>
      <x:c r="I2" s="3"/>
    </x:row>
    <x:row r="3" ht="16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52" customHeight="1">
      <x:c r="A4" s="60" t="str">
        <x:v>모델</x:v>
      </x:c>
      <x:c r="B4" s="60" t="str">
        <x:v>카메라 단가
원</x:v>
      </x:c>
      <x:c r="C4" s="60" t="str">
        <x:v>거리 범위와 최소 거리
m · 렌즈 기준</x:v>
      </x:c>
      <x:c r="D4" s="60" t="str">
        <x:v>깊이 최대 해상도
그 해상도의 fps</x:v>
      </x:c>
      <x:c r="E4" s="60" t="str">
        <x:v>깊이 최대 fps
그 fps의 해상도</x:v>
      </x:c>
      <x:c r="F4" s="60" t="str">
        <x:v>RGB 최대 해상도
그 해상도의 fps</x:v>
      </x:c>
      <x:c r="G4" s="60" t="str">
        <x:v>RGB 최대 fps
그 fps의 해상도</x:v>
      </x:c>
      <x:c r="H4" s="60" t="str">
        <x:v>IR·셔터와 선정 코멘트</x:v>
      </x:c>
      <x:c r="I4" s="60" t="str">
        <x:v>제조사 사양 출처</x:v>
      </x:c>
    </x:row>
    <x:row r="5" ht="170" customHeight="1">
      <x:c r="A5" s="61" t="str">
        <x:v>Gemini 2</x:v>
      </x:c>
      <x:c r="B5" s="62" t="n">
        <x:f>'단가와 출처'!B24</x:f>
        <x:v>454300</x:v>
      </x:c>
      <x:c r="C5" s="66" t="str">
        <x:v>표기 0.15–10m
권장 0.2–5m
실내 우선
최소값의 모드별 표는 미확인</x:v>
      </x:c>
      <x:c r="D5" s="61" t="str">
        <x:v>1280×800 @ 30fps</x:v>
      </x:c>
      <x:c r="E5" s="61" t="str">
        <x:v>60fps @ 640×400
Binned Sparse Default</x:v>
      </x:c>
      <x:c r="F5" s="61" t="str">
        <x:v>1920×1080 @ 30fps</x:v>
      </x:c>
      <x:c r="G5" s="61" t="str">
        <x:v>60fps @ 1280×720</x:v>
      </x:c>
      <x:c r="H5" s="61" t="str">
        <x:v>IR 있음 / RGB 롤링 셔터
깊이 60fps는 저해상도·지정 모드. 신규 가성비 Gemini335보다 51,700원 저렴합니다. 단순 최소 거리만으로 깊이 유효 영역을 보증하지 않습니다.</x:v>
      </x:c>
      <x:c r="I5" s="67" t="str">
        <x:v>제조사 데이터시트, 2024-03-16, p7–8
https://files.seeedstudio.com/products/Orbbec/Orbbec_Gemini_2_Series_Datasheet_V1.7_20240316.pdf</x:v>
      </x:c>
    </x:row>
    <x:row r="6" ht="170" customHeight="1">
      <x:c r="A6" s="63" t="str">
        <x:v>Gemini 335</x:v>
      </x:c>
      <x:c r="B6" s="64" t="n">
        <x:f>'단가와 출처'!B8</x:f>
        <x:v>506000</x:v>
      </x:c>
      <x:c r="C6" s="66" t="str">
        <x:v>표기 0.1–20m+
권장 0.3–3m
최소: 1280×800 0.26m
848×480 0.18m
424×240 0.10m</x:v>
      </x:c>
      <x:c r="D6" s="63" t="str">
        <x:v>1280×800 @ 30fps</x:v>
      </x:c>
      <x:c r="E6" s="63" t="str">
        <x:v>100fps @ 848×100
세로 시야 14°의 특수 모드
일반: 848×480 @ 60fps
640×480 @ 90fps</x:v>
      </x:c>
      <x:c r="F6" s="63" t="str">
        <x:v>1920×1080 @ 30fps</x:v>
      </x:c>
      <x:c r="G6" s="63" t="str">
        <x:v>60fps @ 1280×720</x:v>
      </x:c>
      <x:c r="H6" s="63" t="str">
        <x:v>IR 있음 / RGB 롤링 셔터
신규 가성비 후보. 깊이 100fps는 세로가 매우 좁아 일반 전방 관측과 구분합니다. 50mm 기선, 335L보다 같은 848×480에서 근접 깊이에 유리한 사양입니다.</x:v>
      </x:c>
      <x:c r="I6" s="68" t="str">
        <x:v>V1.6, p10·25·37 (모드/Min-Z 표)
https://www.orbbec.com/wp-content/uploads/2025/06/Gemini-330-series-Datasheet-V1.6.pdf</x:v>
      </x:c>
    </x:row>
    <x:row r="7" ht="170" customHeight="1">
      <x:c r="A7" s="61" t="str">
        <x:v>Gemini 335L</x:v>
      </x:c>
      <x:c r="B7" s="62" t="n">
        <x:f>'단가와 출처'!B25</x:f>
        <x:v>605000</x:v>
      </x:c>
      <x:c r="C7" s="66" t="str">
        <x:v>표기 0.17–20m+
권장 0.25–6m
1280×800: 최소0.25/0.50/1m
(탐색 범위256/128/64)
848×480 0.34m
424×240 0.17m</x:v>
      </x:c>
      <x:c r="D7" s="61" t="str">
        <x:v>1280×800 @ 30fps</x:v>
      </x:c>
      <x:c r="E7" s="61" t="str">
        <x:v>100fps @ 848×100
세로 시야 14°의 특수 모드
일반: 848×480 @ 60fps
640×480 @ 90fps</x:v>
      </x:c>
      <x:c r="F7" s="61" t="str">
        <x:v>1280×800 @ 60fps</x:v>
      </x:c>
      <x:c r="G7" s="61" t="str">
        <x:v>90fps @ 640×480
1280×800 @ 60fps도 지원</x:v>
      </x:c>
      <x:c r="H7" s="61" t="str">
        <x:v>IR 있음 / RGB 글로벌 셔터
95mm 기선. RGB 800p60에 강점. 17cm는 저해상도 최소값이며 848×480에서는 34cm입니다. 근접 깊이가 우선이면 D436·335와 비교해야 합니다.</x:v>
      </x:c>
      <x:c r="I7" s="67" t="str">
        <x:v>V1.6, p10·27·37 (모드/Min-Z 표)
https://www.orbbec.com/wp-content/uploads/2025/06/Gemini-330-series-Datasheet-V1.6.pdf</x:v>
      </x:c>
    </x:row>
    <x:row r="8" ht="170" customHeight="1">
      <x:c r="A8" s="63" t="str">
        <x:v>OAK-D Lite FF</x:v>
      </x:c>
      <x:c r="B8" s="64" t="n">
        <x:f>'단가와 출처'!B7</x:f>
        <x:v>384901</x:v>
      </x:c>
      <x:c r="C8" s="66" t="str">
        <x:v>권장 0.4–8m
유효 상한 표기 20m
최소 약0.20m:
480p + Extended
일반 480p 약0.35m</x:v>
      </x:c>
      <x:c r="D8" s="63" t="str">
        <x:v>640×480
깊이 출력 최대fps 미공개
입력 센서 상한 99fps
(출력 보증과 구분)</x:v>
      </x:c>
      <x:c r="E8" s="63" t="str">
        <x:v>제품별 깊이 절대최대 미공개
참고: RVC2 640×400
최고속 프리셋 벤치 110fps
Lite 실측값 아님</x:v>
      </x:c>
      <x:c r="F8" s="63" t="str">
        <x:v>4208×3120 @ 30fps
IMX214 지원 모드</x:v>
      </x:c>
      <x:c r="G8" s="63" t="str">
        <x:v>35fps @ 1920×1080
IMX214 지원 모드</x:v>
      </x:c>
      <x:c r="H8" s="63" t="str">
        <x:v>IR 없음 / RGB 롤링 셔터
저가 시험안. RGB 60fps 요구에는 부적합합니다. OV7251 입력은 480p99/400p117fps이며 깊이 출력과 다릅니다. 깊이 상한을 120fps로 단정하지 않았습니다.</x:v>
      </x:c>
      <x:c r="I8" s="68" t="str">
        <x:v>제품 거리 / 센서 모드 / 공통 깊이 벤치
https://checkout.luxonis.com/products/oak-d-lite-1
https://docs.luxonis.com/hardware/sensors/OV7251
https://docs.luxonis.com/hardware/sensors/IMX214
https://docs.luxonis.com/overview/toplevel-features/depth</x:v>
      </x:c>
    </x:row>
    <x:row r="9" ht="210" customHeight="1">
      <x:c r="A9" s="61" t="str">
        <x:v>신규 D435i</x:v>
      </x:c>
      <x:c r="B9" s="62" t="n">
        <x:f>'단가와 출처'!B9</x:f>
        <x:v>563000</x:v>
      </x:c>
      <x:c r="C9" s="66" t="str">
        <x:v>권장 0.3–3m
최소: 1280×720 0.28m
848×480 0.195m
424×240 0.105m
최대 유효 거리: 환경 의존</x:v>
      </x:c>
      <x:c r="D9" s="61" t="str">
        <x:v>1280×720 @ 30fps</x:v>
      </x:c>
      <x:c r="E9" s="61" t="str">
        <x:v>특수: 300fps @ 848×100
정규: 90fps @ 848×480
특수 모드는 FW/SDK 확인</x:v>
      </x:c>
      <x:c r="F9" s="61" t="str">
        <x:v>1920×1080 @ 30fps</x:v>
      </x:c>
      <x:c r="G9" s="61" t="str">
        <x:v>60fps @ 960×540
YUY2 출력 표 기준</x:v>
      </x:c>
      <x:c r="H9" s="61" t="str">
        <x:v>IR 있음 / RGB 롤링 셔터
보유품 재사용의 기준기. 300fps는 제조사 고속 모드와 지원 답변의 D435i 확인 사례이며 세로 영역이 작습니다. 신규 구매는 D436과 비교. VAT 미확인.</x:v>
      </x:c>
      <x:c r="I9" s="67" t="str">
        <x:v>2026-03 데이터시트 표4-2·4-12 / 특수모드 지원 답변
https://www.realsenseai.com/wp-content/uploads/2026/03/RealSense-D400-Series-Datasheet-Mar-2026.pdf
https://support.realsenseai.com/hc/en-us/community/posts/360043522273-Intel-publish-white-paper-on-high-speed-300-FPS-depth-capture-for-D435?sort_by=votes
https://www.realsenseai.com/products/depth-camera-d435i/</x:v>
      </x:c>
    </x:row>
    <x:row r="10" ht="170" customHeight="1">
      <x:c r="A10" s="63" t="str">
        <x:v>D436</x:v>
      </x:c>
      <x:c r="B10" s="64" t="n">
        <x:f>'단가와 출처'!B10</x:f>
        <x:v>597000</x:v>
      </x:c>
      <x:c r="C10" s="66" t="str">
        <x:v>권장 0.3–3m
최소: 1280×720 0.28m
848×480 0.195m
424×240 0.105m
최대 유효 거리: 환경 의존</x:v>
      </x:c>
      <x:c r="D10" s="63" t="str">
        <x:v>1280×720 @ 30fps</x:v>
      </x:c>
      <x:c r="E10" s="63" t="str">
        <x:v>90fps @ 848×480
정규 지원 표 기준
D435i의 300fps를 승계 안 함</x:v>
      </x:c>
      <x:c r="F10" s="63" t="str">
        <x:v>상품 표기 최대 1280×800
해당 해상도의 fps 미확인
상세 표 확인 조합:
1280×720 @ 30fps</x:v>
      </x:c>
      <x:c r="G10" s="63" t="str">
        <x:v>60fps @ 848×480
YUY2, 상세 표4-5 기준
1280×800 @ 60fps는
현재 자료로 확정 불가</x:v>
      </x:c>
      <x:c r="H10" s="63" t="str">
        <x:v>IR 있음 / RGB 글로벌 셔터
근접 깊이와 기존 RealSense 작업 활용을 우선할 때 추천. RGB 상품 사양과 상세 출력 표가 불일치합니다. 고해상도 60fps가 필수이면 주문 전 프로필 확인. VAT 미확인.</x:v>
      </x:c>
      <x:c r="I10" s="68" t="str">
        <x:v>2026-03 데이터시트 표4-5·4-12 / 상품 페이지 대조
https://www.realsenseai.com/wp-content/uploads/2026/03/RealSense-D400-Series-Datasheet-Mar-2026.pdf
https://www.realsenseai.com/products/d436/</x:v>
      </x:c>
    </x:row>
    <x:row r="11" ht="210" customHeight="1">
      <x:c r="A11" s="61" t="str">
        <x:v>D455</x:v>
      </x:c>
      <x:c r="B11" s="62" t="n">
        <x:f>'단가와 출처'!B28</x:f>
        <x:v>710000</x:v>
      </x:c>
      <x:c r="C11" s="66" t="str">
        <x:v>권장 0.6–6m
최소: 1280×720 0.52m
848×480 0.35m
424×240 0.18m
최대 유효 거리: 환경 의존</x:v>
      </x:c>
      <x:c r="D11" s="61" t="str">
        <x:v>1280×720 @ 30fps</x:v>
      </x:c>
      <x:c r="E11" s="61" t="str">
        <x:v>특수: 100fps @ 848×100
정규: 90fps @ 848×480
특수 모드는 FW/SDK 확인</x:v>
      </x:c>
      <x:c r="F11" s="61" t="str">
        <x:v>1280×800 @ 30fps</x:v>
      </x:c>
      <x:c r="G11" s="61" t="str">
        <x:v>90fps @ 640×360
일반: 848×480 @ 60fps
YUY2 출력 표 기준</x:v>
      </x:c>
      <x:c r="H11" s="61" t="str">
        <x:v>IR 있음 / RGB 글로벌 셔터
95mm 기선의 원거리 비교안. RGB 최대는 30fps가 아니며 해상도를 낮추면 90fps입니다. 같은 848×480에서 근접 깊이는 D436보다 불리합니다. VAT 미확인.</x:v>
      </x:c>
      <x:c r="I11" s="67" t="str">
        <x:v>2026-03 데이터시트 표4-3·4-12 / 특수모드 지원 답변
https://www.realsenseai.com/wp-content/uploads/2026/03/RealSense-D400-Series-Datasheet-Mar-2026.pdf
https://support.realsenseai.com/hc/en-us/community/posts/360043522273-Intel-publish-white-paper-on-high-speed-300-FPS-depth-capture-for-D435?sort_by=votes
https://www.realsenseai.com/depth-camera-d455/</x:v>
      </x:c>
    </x:row>
    <x:row r="12" ht="170" customHeight="1">
      <x:c r="A12" s="63" t="str">
        <x:v>OAK-D S2 FF</x:v>
      </x:c>
      <x:c r="B12" s="64" t="n">
        <x:f>'단가와 출처'!B26</x:f>
        <x:v>649000</x:v>
      </x:c>
      <x:c r="C12" s="66" t="str">
        <x:v>권장 약0.8–12m
최소 약0.20m:
400p + Extended
일반: 400p 약0.40m
800p 약0.80m</x:v>
      </x:c>
      <x:c r="D12" s="63" t="str">
        <x:v>1280×800
v3 최고속 프리셋 벤치:
50fps @ 1280×800
제품의 절대상한은 미공개</x:v>
      </x:c>
      <x:c r="E12" s="63" t="str">
        <x:v>v3 최고속 프리셋 벤치:
110fps @ 640×400
제품의 절대상한은 미공개</x:v>
      </x:c>
      <x:c r="F12" s="63" t="str">
        <x:v>4056×3040 @ 30fps
IMX378 RVC2 지원 모드</x:v>
      </x:c>
      <x:c r="G12" s="63" t="str">
        <x:v>85fps @ 2024×1520
일반 1920×1080 @ 60fps
IMX378 RVC2 지원 모드</x:v>
      </x:c>
      <x:c r="H12" s="63" t="str">
        <x:v>IR 없음 / RGB 롤링 셔터
Lite보다 고해상도 깊이 입력. IR 부재 문제는 남습니다. OAK 깊이값은 공통 v3 벤치이며 RGB·필터·AI 동시 실행 최대값이 아닙니다.</x:v>
      </x:c>
      <x:c r="I12" s="68" t="str">
        <x:v>제품 거리 / IMX378 / v3 깊이 벤치
https://docs.luxonis.com/hardware/products/OAK-D%20S2
https://docs.luxonis.com/hardware/sensors/IMX378
https://docs.luxonis.com/overview/toplevel-features/depth</x:v>
      </x:c>
    </x:row>
    <x:row r="13" ht="170" customHeight="1">
      <x:c r="A13" s="61" t="str">
        <x:v>OAK-D Pro FF
IMX378</x:v>
      </x:c>
      <x:c r="B13" s="62" t="n">
        <x:f>'단가와 출처'!B27</x:f>
        <x:v>852500</x:v>
      </x:c>
      <x:c r="C13" s="66" t="str">
        <x:v>권장 약0.8–12m
최소 약0.20m:
400p + Extended
일반: 400p 약0.40m
800p 약0.80m</x:v>
      </x:c>
      <x:c r="D13" s="61" t="str">
        <x:v>1280×800
v3 최고속 프리셋 벤치:
50fps @ 1280×800
제품의 절대상한은 미공개</x:v>
      </x:c>
      <x:c r="E13" s="61" t="str">
        <x:v>v3 최고속 프리셋 벤치:
110fps @ 640×400
제품의 절대상한은 미공개</x:v>
      </x:c>
      <x:c r="F13" s="61" t="str">
        <x:v>4056×3040 @ 30fps
IMX378 RVC2 지원 모드</x:v>
      </x:c>
      <x:c r="G13" s="61" t="str">
        <x:v>85fps @ 2024×1520
일반 1920×1080 @ 60fps
IMX378 RVC2 지원 모드</x:v>
      </x:c>
      <x:c r="H13" s="61" t="str">
        <x:v>IR 점무늬·투광기 있음 / RGB 롤링 셔터
IR과 장치 내 처리를 원할 때 비교. 고해상도 RGB의 장점과 셔터·가격을 함께 봅니다. 모드별 실제 깊이 처리율과 IR 전원을 확인해야 합니다.</x:v>
      </x:c>
      <x:c r="I13" s="67" t="str">
        <x:v>제품 거리 / IMX378 / v3 깊이 벤치
https://docs.luxonis.com/hardware/products/OAK-D%20Pro
https://docs.luxonis.com/hardware/sensors/IMX378
https://docs.luxonis.com/overview/toplevel-features/depth</x:v>
      </x:c>
    </x:row>
    <x:row r="14" ht="170" customHeight="1">
      <x:c r="A14" s="63" t="str">
        <x:v>OAK-D Pro FF-97
OV9782</x:v>
      </x:c>
      <x:c r="B14" s="64" t="n">
        <x:f>'단가와 출처'!B29</x:f>
        <x:v>946000</x:v>
      </x:c>
      <x:c r="C14" s="66" t="str">
        <x:v>권장 약0.8–12m
최소 약0.20m:
400p + Extended
일반: 400p 약0.40m
800p 약0.80m</x:v>
      </x:c>
      <x:c r="D14" s="63" t="str">
        <x:v>1280×800
v3 최고속 프리셋 벤치:
50fps @ 1280×800
제품의 절대상한은 미공개</x:v>
      </x:c>
      <x:c r="E14" s="63" t="str">
        <x:v>v3 최고속 프리셋 벤치:
110fps @ 640×400
제품의 절대상한은 미공개</x:v>
      </x:c>
      <x:c r="F14" s="63" t="str">
        <x:v>1280×800 @ 129fps
OV9782 RVC2 지원 모드</x:v>
      </x:c>
      <x:c r="G14" s="63" t="str">
        <x:v>143fps @ 1280×720
OV9782 RVC2 지원 모드
깊이 fps와 별개</x:v>
      </x:c>
      <x:c r="H14" s="63" t="str">
        <x:v>IR 점무늬·투광기 있음 / RGB 글로벌 셔터
고속 RGB 입력과 장치 내 처리가 목적이면 유력. 129/143fps는 드라이버 센서 모드이며 완성 파이프라인 보증이 아닙니다. 높은 단가를 감수할 필요가 있는지 비교합니다.</x:v>
      </x:c>
      <x:c r="I14" s="68" t="str">
        <x:v>제품 거리 / OV9782 / v3 깊이 벤치
https://docs.luxonis.com/hardware/products/OAK-D%20Pro
https://docs.luxonis.com/hardware/sensors/OV9782
https://docs.luxonis.com/overview/toplevel-features/depth</x:v>
      </x:c>
    </x:row>
    <x:row r="15" ht="17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170" customHeight="1">
      <x:c r="A16" s="3"/>
      <x:c r="B16" s="3"/>
      <x:c r="C16" s="3"/>
      <x:c r="D16" s="3"/>
      <x:c r="E16" s="3"/>
      <x:c r="F16" s="3"/>
      <x:c r="G16" s="3"/>
      <x:c r="H16" s="3"/>
      <x:c r="I16" s="3"/>
    </x:row>
    <x:row r="17" ht="55" customHeight="1">
      <x:c r="A17" s="69" t="str">
        <x:v>거리 해석</x:v>
      </x:c>
      <x:c r="B17" s="3" t="str">
        <x:v>권장은 제조사의 적정 사용 거리이며 확정 측정 한계가 아닙니다. Min-Z는 렌즈에서의 전방 깊이 축 거리입니다. 차체 끝 기준 여유거리나 바닥에서 처음 보이는 거리로 그대로 쓰면 안 됩니다. 반사율·노출·해상도·깊이 탐색 범위와 장착 높이/각도에 따라 유효 영역이 달라집니다.</x:v>
      </x:c>
      <x:c r="C17" s="3"/>
      <x:c r="D17" s="3"/>
      <x:c r="E17" s="3"/>
      <x:c r="F17" s="3"/>
      <x:c r="G17" s="3"/>
      <x:c r="H17" s="3"/>
      <x:c r="I17" s="3"/>
    </x:row>
    <x:row r="18" ht="55" customHeight="1">
      <x:c r="A18" s="69" t="str">
        <x:v>모드 비교</x:v>
      </x:c>
      <x:c r="B18" s="3" t="str">
        <x:v>각 최대값과 동시에 지원하는 해상도/fps를 짝지었습니다. 같은 최대fps를 지원하는 해상도가 여러 개면 확인한 가장 큰 해상도를 적었습니다. 더 낮은 해상도 전체 목록은 생략합니다. USB3, 펌웨어와 SDK 프로필·깊이/RGB 동시 출력은 주문 전 확인합니다.</x:v>
      </x:c>
      <x:c r="C18" s="3"/>
      <x:c r="D18" s="3"/>
      <x:c r="E18" s="3"/>
      <x:c r="F18" s="3"/>
      <x:c r="G18" s="3"/>
      <x:c r="H18" s="3"/>
      <x:c r="I18" s="3"/>
    </x:row>
    <x:row r="19" ht="55" customHeight="1">
      <x:c r="A19" s="69" t="str">
        <x:v>Gemini 최소거리</x:v>
      </x:c>
      <x:c r="B19" s="3" t="str">
        <x:v>335L의17cm는424×240 조건입니다. 848×480에서는335L34cm, 33518cm이고 D436은19.5cm입니다. 335L의 긴 기선은 원거리 정밀도에 유리할 수 있으나 가까운 전방 관측의 우선순위를 뒤집을 수 있으므로 길이만으로 상위 추천하지 않습니다.</x:v>
      </x:c>
      <x:c r="C19" s="3"/>
      <x:c r="D19" s="3"/>
      <x:c r="E19" s="3"/>
      <x:c r="F19" s="3"/>
      <x:c r="G19" s="3"/>
      <x:c r="H19" s="3"/>
      <x:c r="I19" s="3"/>
    </x:row>
    <x:row r="20" ht="55" customHeight="1">
      <x:c r="A20" s="69" t="str">
        <x:v>D436 RGB 불일치</x:v>
      </x:c>
      <x:c r="B20" s="3" t="str">
        <x:v>상품 페이지는 최대1280×800와최대60fps를 별개로 적지만, 2026-03 데이터시트 표4-5의 RGB(YUY2)에는1280×720@30과848×480@60까지만 확인됩니다. Calibration의1280×800@15/25는 일반 RGB로 전용하지 않습니다. 1280×800@60을 확정 구매조건으로 쓰지 않습니다.</x:v>
      </x:c>
      <x:c r="C20" s="3"/>
      <x:c r="D20" s="3"/>
      <x:c r="E20" s="3"/>
      <x:c r="F20" s="3"/>
      <x:c r="G20" s="3"/>
      <x:c r="H20" s="3"/>
      <x:c r="I20" s="3"/>
    </x:row>
    <x:row r="21" ht="55" customHeight="1">
      <x:c r="A21" s="69" t="str">
        <x:v>특수 고속 모드</x:v>
      </x:c>
      <x:c r="B21" s="3" t="str">
        <x:v>Gemini335/335L의100fps는848×100으로 세로 시야가14°입니다. D435i300fps·D455100fps도848×100의 특수 모드이며 제조사 지원 사례가 있고 현행FW/SDK 확인이 필요합니다. 전방 노면을 넓게 보는 일반 조향 설정의 최대값과 분리합니다.</x:v>
      </x:c>
      <x:c r="C21" s="3"/>
      <x:c r="D21" s="3"/>
      <x:c r="E21" s="3"/>
      <x:c r="F21" s="3"/>
      <x:c r="G21" s="3"/>
      <x:c r="H21" s="3"/>
      <x:c r="I21" s="3"/>
    </x:row>
    <x:row r="22" ht="55" customHeight="1">
      <x:c r="A22" s="69" t="str">
        <x:v>OAK 깊이 기준</x:v>
      </x:c>
      <x:c r="B22" s="3" t="str">
        <x:v>OAK는 센서 입력fps와 StereoDepth 출력fps를 구분합니다. 표의50fps(1280×800)/110fps(640×400)는 현행DepthAI v3 RVC2의 Fast Density No Subpixel 공통 벤치값이며 완제품별 절대상한·동시 RGB/AI 성능 보증이 아닙니다. Lite480p의 정확한 깊이 출력 상한은 제조사 자료에서 미확인입니다.</x:v>
      </x:c>
      <x:c r="C22" s="3"/>
      <x:c r="D22" s="3"/>
      <x:c r="E22" s="3"/>
      <x:c r="F22" s="3"/>
      <x:c r="G22" s="3"/>
      <x:c r="H22" s="3"/>
      <x:c r="I22" s="3"/>
    </x:row>
    <x:row r="23" ht="55" customHeight="1">
      <x:c r="A23" s="69" t="str">
        <x:v>OAK 세부 조건</x:v>
      </x:c>
      <x:c r="B23" s="3" t="str">
        <x:v>400p는640×400,800p는1280×800입니다. 가까운 거리용Extended, 좌우 일치 검사, 서브픽셀, 필터는 처리율에 영향을 줍니다. v2의720p150fps 단순 모드 수치를 v3 프리셋과 섞어 순위를 매기지 않습니다. RGB열의129/143fps 등은 RVC2 센서 드라이버 지원 모드로 압축·전송·AI까지의 출력률과 다릅니다.</x:v>
      </x:c>
      <x:c r="C23" s="3"/>
      <x:c r="D23" s="3"/>
      <x:c r="E23" s="3"/>
      <x:c r="F23" s="3"/>
      <x:c r="G23" s="3"/>
      <x:c r="H23" s="3"/>
      <x:c r="I23" s="3"/>
    </x:row>
    <x:row r="24" ht="55" customHeight="1">
      <x:c r="A24" s="69" t="str">
        <x:v>IR과 초점</x:v>
      </x:c>
      <x:c r="B24" s="3" t="str">
        <x:v>Lite·일반S2에는 IR 점무늬 프로젝터가 없고 Pro에는 점무늬와 IR 투광기가 있습니다. Lite의IR-cut 때문에 외부IR 추가만으로Pro와 같아진다고 가정하지 않습니다. 고정초점 자체가 차량용 결격 사유는 아닙니다. 제조사 권장 거리와 실제 표면에서 선명도를 확인합니다.</x:v>
      </x:c>
      <x:c r="C24" s="3"/>
      <x:c r="D24" s="3"/>
      <x:c r="E24" s="3"/>
      <x:c r="F24" s="3"/>
      <x:c r="G24" s="3"/>
      <x:c r="H24" s="3"/>
      <x:c r="I24" s="3"/>
    </x:row>
    <x:row r="25" ht="55" customHeight="1">
      <x:c r="A25" s="69" t="str">
        <x:v>Gemini 구분</x:v>
      </x:c>
      <x:c r="B25" s="3" t="str">
        <x:v>Gemini2와330계열은 다른 제품군입니다. 335→335L은 기선50→95mm뿐 아니라 RGB 롤링→글로벌 셔터도 바뀝니다. 336/336L의 주요 차이는 깊이 IR-pass 광학 필터이며 프로젝터 유무 차이가 아닙니다. Le/Lg는 연결방식·가격 조건까지 다른 파생형입니다.</x:v>
      </x:c>
      <x:c r="C25" s="3"/>
      <x:c r="D25" s="3"/>
      <x:c r="E25" s="3"/>
      <x:c r="F25" s="3"/>
      <x:c r="G25" s="3"/>
      <x:c r="H25" s="3"/>
      <x:c r="I25" s="3"/>
    </x:row>
    <x:row r="26" ht="55" customHeight="1">
      <x:c r="A26" s="69" t="str">
        <x:v>혼합안 역할</x:v>
      </x:c>
      <x:c r="B26" s="3" t="str">
        <x:v>LiDAR가 있으면 RGB만 있어도ToF0개입니다. LiDAR가 없으면RGB/스테레오 모두 측면ToF4개입니다. RGB-D가 전방 조향·신호/마커를 담당하고 낮은LiDAR가 근접 차량·벽을 감시하는 검토안입니다. 라이다 높이의 수평층을 개방하되 조향한 바퀴·지지대 가림, 피치/롤·턱, 검은 표면과 상대차의 감지 가능한 높이를 확인해야 합니다.</x:v>
      </x:c>
      <x:c r="C26" s="3"/>
      <x:c r="D26" s="3"/>
      <x:c r="E26" s="3"/>
      <x:c r="F26" s="3"/>
      <x:c r="G26" s="3"/>
      <x:c r="H26" s="3"/>
      <x:c r="I26" s="3"/>
    </x:row>
    <x:row r="27" ht="55" customHeight="1">
      <x:c r="A27" s="69" t="str">
        <x:v>10Hz 판단</x:v>
      </x:c>
      <x:c r="B27" s="3" t="str">
        <x:v>C1은8–12Hz(대표10),0.72° 간격,최소0.05m·거리 정확도±30mm입니다. 같은 방향의 재관측 간격 약100ms 동안 접근속도0.5/1/2m/s면5/10/20cm가 줄어듭니다. 여기에 처리·제동·조향 지연이 더해집니다. 나란히 달리는 낮은 상대속도에는 사용 가능성이 있으나10Hz 충돌 회피 충분 판정은 미검증입니다.</x:v>
      </x:c>
      <x:c r="C27" s="3"/>
      <x:c r="D27" s="3"/>
      <x:c r="E27" s="3"/>
      <x:c r="F27" s="3"/>
      <x:c r="G27" s="3"/>
      <x:c r="H27" s="3"/>
      <x:c r="I27" s="3"/>
    </x:row>
    <x:row r="28" ht="55" customHeight="1">
      <x:c r="A28" s="69" t="str">
        <x:v>20Hz 대안</x:v>
      </x:c>
      <x:c r="B28" s="3" t="str">
        <x:v>S3는10–20Hz,32k 측정/초로20Hz의 각 간격은0.225°입니다. 최소0.05m·거리 정확도±30mm로C1보다 거리 정확도까지 좋아진다고 가정하지 않습니다. 20Hz는 같은 방향의 재관측을 약50ms로 줄이지만 수평면 밖 물체나 차체 가림을 해결하지 않습니다.</x:v>
      </x:c>
      <x:c r="C28" s="3"/>
      <x:c r="D28" s="3"/>
      <x:c r="E28" s="3"/>
      <x:c r="F28" s="3"/>
      <x:c r="G28" s="3"/>
      <x:c r="H28" s="3"/>
      <x:c r="I28" s="3"/>
    </x:row>
    <x:row r="29" ht="55" customHeight="1">
      <x:c r="A29" s="69" t="str">
        <x:v>LiDAR 출처</x:v>
      </x:c>
      <x:c r="B29" s="3" t="str">
        <x:v>https://www.slamtec.com/en/c1/spec
https://www.slamtec.com/en/s3/spec</x:v>
      </x:c>
      <x:c r="C29" s="3"/>
      <x:c r="D29" s="3"/>
      <x:c r="E29" s="3"/>
      <x:c r="F29" s="3"/>
      <x:c r="G29" s="3"/>
      <x:c r="H29" s="3"/>
      <x:c r="I29" s="3"/>
    </x:row>
    <x:row r="30" ht="55" customHeight="1">
      <x:c r="A30" s="69" t="str">
        <x:v>요청 예산</x:v>
      </x:c>
      <x:c r="B30" s="3" t="str">
        <x:v>RGB 기본안은 C1+RGB/ToF0으로 총60만원 협의를 검토합니다(저가카메라fps·재고 조건). 깊이 확장까지 확보하려면 총120만원(지원30+자체90). D436+C1+차체35~40만은1,046,000~1,096,000원, D436 VAT별도면1,105,700~1,155,700원입니다.</x:v>
      </x:c>
      <x:c r="C30" s="3"/>
      <x:c r="D30" s="3"/>
      <x:c r="E30" s="3"/>
      <x:c r="F30" s="3"/>
      <x:c r="G30" s="3"/>
      <x:c r="H30" s="3"/>
      <x:c r="I30" s="3"/>
    </x:row>
    <x:row r="31" ht="55" customHeight="1">
      <x:c r="A31" s="69" t="str">
        <x:v>예산 제한 없음</x:v>
      </x:c>
      <x:c r="B31" s="3" t="str">
        <x:v>현재 후보 중 D436+S3 20Hz / ToF0을 우선 시험합니다. RGB 경로·깊이 보조·저상LiDAR 근접 감시용이며 깊이는 필수 전제가 아닙니다. 센서1,336,200원, 차체35~40만 및 D436 VAT별도 가정1,745,900~1,795,900원. RGB800p60 필수이면335L/OAK Pro와 재비교합니다.</x:v>
      </x:c>
      <x:c r="C31" s="3"/>
      <x:c r="D31" s="3"/>
      <x:c r="E31" s="3"/>
      <x:c r="F31" s="3"/>
      <x:c r="G31" s="3"/>
      <x:c r="H31" s="3"/>
      <x:c r="I31" s="3"/>
    </x:row>
    <x:row r="32" ht="55" customHeight="1">
      <x:c r="A32" s="69" t="str">
        <x:v>RGB 주행 검토</x:v>
      </x:c>
      <x:c r="B32" s="3" t="str">
        <x:v>RGB로 노면·경로를 찾고 별도 근접 센서로 간격을 감시하는 구조도 가능합니다. 후방 마커는 차량 전체 외곽이 아니며 가려질 수 있습니다. 노면과 같은 높이의 잔디 구분은 깊이만으로도 해결되지 않습니다. RGB 경로 가림·조명 변화·급커브에서 깊이 보조의 실제 이득을 비교한 뒤 구매합니다.</x:v>
      </x:c>
      <x:c r="C32" s="3"/>
      <x:c r="D32" s="3"/>
      <x:c r="E32" s="3"/>
      <x:c r="F32" s="3"/>
      <x:c r="G32" s="3"/>
      <x:c r="H32" s="3"/>
      <x:c r="I32" s="3"/>
    </x:row>
    <x:row r="33" ht="17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17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17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17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17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17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170" customHeight="1">
      <x:c r="A39" s="3"/>
      <x:c r="B39" s="3"/>
      <x:c r="C39" s="3"/>
      <x:c r="D39" s="3"/>
      <x:c r="E39" s="3"/>
      <x:c r="F39" s="3"/>
      <x:c r="G39" s="3"/>
      <x:c r="H39" s="3"/>
      <x:c r="I39" s="3"/>
    </x:row>
    <x:row r="40" ht="170" customHeight="1">
      <x:c r="A40" s="3"/>
      <x:c r="B40" s="3"/>
      <x:c r="C40" s="3"/>
      <x:c r="D40" s="3"/>
      <x:c r="E40" s="3"/>
      <x:c r="F40" s="3"/>
      <x:c r="G40" s="3"/>
      <x:c r="H40" s="3"/>
      <x:c r="I40" s="3"/>
    </x:row>
    <x:row r="41" ht="170" customHeight="1">
      <x:c r="A41" s="3"/>
      <x:c r="B41" s="3"/>
      <x:c r="C41" s="3"/>
      <x:c r="D41" s="3"/>
      <x:c r="E41" s="3"/>
      <x:c r="F41" s="3"/>
      <x:c r="G41" s="3"/>
      <x:c r="H41" s="3"/>
      <x:c r="I41" s="3"/>
    </x:row>
    <x:row r="42" ht="170" customHeight="1">
      <x:c r="A42" s="3"/>
      <x:c r="B42" s="3"/>
      <x:c r="C42" s="3"/>
      <x:c r="D42" s="3"/>
      <x:c r="E42" s="3"/>
      <x:c r="F42" s="3"/>
      <x:c r="G42" s="3"/>
      <x:c r="H42" s="3"/>
      <x:c r="I42" s="3"/>
    </x:row>
  </x:sheetData>
  <x:mergeCells>
    <x:mergeCell ref="A1:H1"/>
    <x:mergeCell ref="A2:H2"/>
    <x:mergeCell ref="B17:I17"/>
    <x:mergeCell ref="B18:I18"/>
    <x:mergeCell ref="B19:I19"/>
    <x:mergeCell ref="B20:I20"/>
    <x:mergeCell ref="B21:I21"/>
    <x:mergeCell ref="B22:I22"/>
    <x:mergeCell ref="B23:I23"/>
    <x:mergeCell ref="B24:I24"/>
    <x:mergeCell ref="B25:I25"/>
    <x:mergeCell ref="B26:I26"/>
    <x:mergeCell ref="B27:I27"/>
    <x:mergeCell ref="B28:I28"/>
    <x:mergeCell ref="B29:I29"/>
    <x:mergeCell ref="B30:I30"/>
    <x:mergeCell ref="B31:I31"/>
    <x:mergeCell ref="B32:I32"/>
  </x:mergeCells>
  <x:pageMargins left="0.7" right="0.7" top="0.75" bottom="0.75" header="0.3" footer="0.3"/>
</x:worksheet>
</file>