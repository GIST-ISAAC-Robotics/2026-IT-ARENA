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5799994e0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구성 비교" sheetId="1" r:id="R7d7f3ea5be74454e"/>
    <x:sheet xmlns:r="http://schemas.openxmlformats.org/officeDocument/2006/relationships" name="가격순 비교" sheetId="5" r:id="R79dcd809802a471a"/>
    <x:sheet xmlns:r="http://schemas.openxmlformats.org/officeDocument/2006/relationships" name="스테레오 비교" sheetId="6" r:id="R8518a78ab2024683"/>
    <x:sheet xmlns:r="http://schemas.openxmlformats.org/officeDocument/2006/relationships" name="단가와 출처" sheetId="2" r:id="R377add46a0fd48d9"/>
    <x:sheet xmlns:r="http://schemas.openxmlformats.org/officeDocument/2006/relationships" name="차체 견적 대조" sheetId="3" r:id="Rf29430eaf8ff4ffa"/>
    <x:sheet xmlns:r="http://schemas.openxmlformats.org/officeDocument/2006/relationships" name="예산 조건" sheetId="4" r:id="Rcc0d2104082446d5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0"/>
  </x:numFmts>
  <x:fonts count="6">
    <x:font>
      <x:sz val="11"/>
      <x:name val="Carlito"/>
    </x:font>
    <x:font>
      <x:sz val="11"/>
      <x:color rgb="FF243247"/>
      <x:name val="Arial"/>
    </x:font>
    <x:font>
      <x:b/>
      <x:sz val="15"/>
      <x:color rgb="FF243247"/>
      <x:name val="Arial"/>
    </x:font>
    <x:font>
      <x:sz val="10"/>
      <x:color rgb="FF59677A"/>
      <x:name val="Arial"/>
    </x:font>
    <x:font>
      <x:b/>
      <x:sz val="11"/>
      <x:color rgb="FFFFFFFF"/>
      <x:name val="Arial"/>
    </x:font>
    <x:font>
      <x:b/>
      <x:sz val="16"/>
      <x:color rgb="FF243247"/>
      <x:name val="Arial"/>
    </x:font>
  </x:fonts>
  <x:fills count="25">
    <x:fill>
      <x:patternFill patternType="none"/>
    </x:fill>
    <x:fill>
      <x:patternFill patternType="gray125"/>
    </x:fill>
    <x:fill>
      <x:patternFill patternType="solid">
        <x:fgColor rgb="FF34445A"/>
      </x:patternFill>
    </x:fill>
    <x:fill>
      <x:patternFill patternType="solid">
        <x:fgColor rgb="FFFFF1CD"/>
      </x:patternFill>
    </x:fill>
    <x:fill>
      <x:patternFill patternType="solid">
        <x:fgColor rgb="FFE6EDF5"/>
      </x:patternFill>
    </x:fill>
    <x:fill>
      <x:patternFill patternType="solid">
        <x:fgColor rgb="FFF2F2F2"/>
      </x:patternFill>
    </x:fill>
    <x:fill>
      <x:patternFill patternType="solid">
        <x:fgColor rgb="FFFFF1CD"/>
      </x:patternFill>
    </x:fill>
    <x:fill>
      <x:patternFill patternType="solid">
        <x:fgColor rgb="FFEAF4E9"/>
      </x:patternFill>
    </x:fill>
    <x:fill>
      <x:patternFill patternType="solid">
        <x:fgColor rgb="FFFFF1CD"/>
      </x:patternFill>
    </x:fill>
    <x:fill>
      <x:patternFill patternType="solid">
        <x:fgColor rgb="FFEAF4E9"/>
      </x:patternFill>
    </x:fill>
    <x:fill>
      <x:patternFill patternType="solid">
        <x:fgColor rgb="FF34445A"/>
      </x:patternFill>
    </x:fill>
    <x:fill>
      <x:patternFill patternType="solid">
        <x:fgColor rgb="FFFFF1C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E6EDF5"/>
      </x:patternFill>
    </x:fill>
    <x:fill>
      <x:patternFill patternType="solid">
        <x:fgColor rgb="FF34445A"/>
      </x:patternFill>
    </x:fill>
    <x:fill>
      <x:patternFill patternType="solid">
        <x:fgColor rgb="FFFFF1C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E6EDF5"/>
      </x:patternFill>
    </x:fill>
    <x:fill>
      <x:patternFill patternType="solid">
        <x:fgColor rgb="FFFFF1CD"/>
      </x:patternFill>
    </x:fill>
    <x:fill>
      <x:patternFill patternType="solid">
        <x:fgColor rgb="FF34445A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E6EDF5"/>
      </x:patternFill>
    </x:fill>
  </x:fills>
  <x:borders count="1">
    <x:border/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202" fontId="1" fillId="6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8" borderId="0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200" fontId="1" fillId="20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4" fillId="21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200" fontId="1" fillId="22" borderId="0" xfId="0" applyNumberFormat="1" applyFont="1" applyFill="1" applyBorder="1" applyAlignment="1">
      <x:alignment vertical="center" wrapText="1"/>
    </x:xf>
    <x:xf numFmtId="0" fontId="1" fillId="23" borderId="0" xfId="0" applyNumberFormat="1" applyFont="1" applyFill="1" applyBorder="1" applyAlignment="1">
      <x:alignment vertical="center" wrapText="1"/>
    </x:xf>
    <x:xf numFmtId="200" fontId="1" fillId="23" borderId="0" xfId="0" applyNumberFormat="1" applyFont="1" applyFill="1" applyBorder="1" applyAlignment="1">
      <x:alignment vertical="center" wrapText="1"/>
    </x:xf>
    <x:xf numFmtId="200" fontId="1" fillId="24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1" fillId="2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b586b54c73483f" /><Relationship Type="http://schemas.openxmlformats.org/officeDocument/2006/relationships/theme" Target="/xl/theme/theme1.xml" Id="R34ab153074d24e09" /><Relationship Type="http://schemas.openxmlformats.org/officeDocument/2006/relationships/sheetMetadata" Target="/xl/metadata1.xml" Id="R45d7a5cde7434d7a" /><Relationship Type="http://schemas.openxmlformats.org/officeDocument/2006/relationships/sharedStrings" Target="/xl/sharedStrings.xml" Id="R9764141269dd4ecc" /><Relationship Type="http://schemas.openxmlformats.org/officeDocument/2006/relationships/worksheet" Target="/xl/worksheets/sheet1.xml" Id="R7d7f3ea5be74454e" /><Relationship Type="http://schemas.openxmlformats.org/officeDocument/2006/relationships/worksheet" Target="/xl/worksheets/sheet2.xml" Id="R377add46a0fd48d9" /><Relationship Type="http://schemas.openxmlformats.org/officeDocument/2006/relationships/worksheet" Target="/xl/worksheets/sheet3.xml" Id="Rf29430eaf8ff4ffa" /><Relationship Type="http://schemas.openxmlformats.org/officeDocument/2006/relationships/worksheet" Target="/xl/worksheets/sheet4.xml" Id="Rcc0d2104082446d5" /><Relationship Type="http://schemas.openxmlformats.org/officeDocument/2006/relationships/worksheet" Target="/xl/worksheets/sheet5.xml" Id="R79dcd809802a471a" /><Relationship Type="http://schemas.openxmlformats.org/officeDocument/2006/relationships/worksheet" Target="/xl/worksheets/sheet6.xml" Id="R8518a78ab20246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30000114440918" hidden="0" customWidth="1"/>
    <x:col min="2" max="2" width="35.630001068115234" hidden="0" customWidth="1"/>
    <x:col min="3" max="3" width="9" hidden="0" customWidth="1"/>
    <x:col min="4" max="4" width="14.75" hidden="0" customWidth="1"/>
    <x:col min="5" max="5" width="16" hidden="0" customWidth="1"/>
    <x:col min="6" max="6" width="16" hidden="0" customWidth="1"/>
    <x:col min="7" max="7" width="52.5" hidden="0" customWidth="1"/>
    <x:col min="8" max="8" width="15" hidden="0" customWidth="1"/>
    <x:col min="9" max="9" width="14.380000114440918" hidden="0" customWidth="1"/>
    <x:col min="10" max="10" width="14.380000114440918" hidden="0" customWidth="1"/>
  </x:cols>
  <x:sheetData>
    <x:row r="1" ht="43" customHeight="1">
      <x:c r="A1" s="35" t="str">
        <x:v>IT ARENA 센서 구성별 예산</x:v>
      </x:c>
      <x:c r="B1" s="3"/>
      <x:c r="C1" s="3"/>
      <x:c r="D1" s="3"/>
      <x:c r="E1" s="3"/>
      <x:c r="F1" s="3"/>
      <x:c r="G1" s="3"/>
      <x:c r="H1"/>
      <x:c r="I1"/>
      <x:c r="J1"/>
    </x:row>
    <x:row r="2" ht="37" customHeight="1">
      <x:c r="A2" s="36" t="str">
        <x:v>2026-09-05 · 단위 원 · 17개 조합 × ToF2/4 · * B0385 품절 비교가 · † OV2710의 60fps 프로필 미확인</x:v>
      </x:c>
      <x:c r="B2" s="3"/>
      <x:c r="C2" s="3"/>
      <x:c r="D2" s="3"/>
      <x:c r="E2" s="3"/>
      <x:c r="F2" s="3"/>
      <x:c r="G2" s="3"/>
      <x:c r="H2"/>
      <x:c r="I2"/>
      <x:c r="J2"/>
    </x:row>
    <x:row r="3" ht="16" customHeight="1">
      <x:c r="A3" s="3"/>
      <x:c r="B3" s="3"/>
      <x:c r="C3" s="3"/>
      <x:c r="D3" s="3"/>
      <x:c r="E3" s="3"/>
      <x:c r="F3" s="3"/>
      <x:c r="G3" s="3"/>
      <x:c r="H3"/>
      <x:c r="I3"/>
      <x:c r="J3"/>
    </x:row>
    <x:row r="4" ht="40" customHeight="1">
      <x:c r="A4" s="60" t="str">
        <x:v>안</x:v>
      </x:c>
      <x:c r="B4" s="60" t="str">
        <x:v>센서 구성</x:v>
      </x:c>
      <x:c r="C4" s="60" t="str">
        <x:v>ToF 수량</x:v>
      </x:c>
      <x:c r="D4" s="60" t="str">
        <x:v>센서 합계</x:v>
      </x:c>
      <x:c r="E4" s="60" t="str">
        <x:v>차체 35만 합산</x:v>
      </x:c>
      <x:c r="F4" s="60" t="str">
        <x:v>차체 40만 합산</x:v>
      </x:c>
      <x:c r="G4" s="60" t="str">
        <x:v>코멘트</x:v>
      </x:c>
      <x:c r="H4"/>
      <x:c r="I4"/>
      <x:c r="J4"/>
    </x:row>
    <x:row r="5" ht="82" customHeight="1">
      <x:c r="A5" s="61" t="str">
        <x:v>B-2</x:v>
      </x:c>
      <x:c r="B5" s="61" t="str">
        <x:v>보유 D435i + ToF 2</x:v>
      </x:c>
      <x:c r="C5" s="57" t="n">
        <x:v>2</x:v>
      </x:c>
      <x:c r="D5" s="65" t="n">
        <x:f>C5*'단가와 출처'!$B$5</x:f>
        <x:v>70400</x:v>
      </x:c>
      <x:c r="E5" s="62" t="n">
        <x:f>D5+'차체 견적 대조'!$F$27</x:f>
        <x:v>420400</x:v>
      </x:c>
      <x:c r="F5" s="62" t="n">
        <x:f>D5+'차체 견적 대조'!$F$28</x:f>
        <x:v>470400</x:v>
      </x:c>
      <x:c r="G5" s="61" t="str">
        <x:v>재사용 허용 시 지출 최소. IR 탑재. 보유품의 규정 평가액은 별도이며 RGB는 롤링 셔터입니다. ToF2: 좌우 우선 배치 시 ToF의 후방 보완은 생략.</x:v>
      </x:c>
      <x:c r="H5"/>
      <x:c r="I5"/>
      <x:c r="J5"/>
    </x:row>
    <x:row r="6" ht="82" customHeight="1">
      <x:c r="A6" s="61" t="str">
        <x:v>B-4</x:v>
      </x:c>
      <x:c r="B6" s="61" t="str">
        <x:v>보유 D435i + ToF 4</x:v>
      </x:c>
      <x:c r="C6" s="57" t="n">
        <x:v>4</x:v>
      </x:c>
      <x:c r="D6" s="65" t="n">
        <x:f>C6*'단가와 출처'!$B$5</x:f>
        <x:v>140800</x:v>
      </x:c>
      <x:c r="E6" s="62" t="n">
        <x:f>D6+'차체 견적 대조'!$F$27</x:f>
        <x:v>490800</x:v>
      </x:c>
      <x:c r="F6" s="62" t="n">
        <x:f>D6+'차체 견적 대조'!$F$28</x:f>
        <x:v>540800</x:v>
      </x:c>
      <x:c r="G6" s="61" t="str">
        <x:v>재사용 허용 시 지출 최소. IR 탑재. 보유품의 규정 평가액은 별도이며 RGB는 롤링 셔터입니다. ToF4: 관측 범위를 넓히는 안이며 전방위 무사각은 아님.</x:v>
      </x:c>
      <x:c r="H6"/>
      <x:c r="I6"/>
      <x:c r="J6"/>
    </x:row>
    <x:row r="7" ht="82" customHeight="1">
      <x:c r="A7" s="63" t="str">
        <x:v>L1v-2</x:v>
      </x:c>
      <x:c r="B7" s="63" t="str">
        <x:v>C1 + OV2710† + ToF 2</x:v>
      </x:c>
      <x:c r="C7" s="57" t="n">
        <x:v>2</x:v>
      </x:c>
      <x:c r="D7" s="65" t="n">
        <x:f>'단가와 출처'!$B$6+'단가와 출처'!$B$22+C7*'단가와 출처'!$B$5</x:f>
        <x:v>232760</x:v>
      </x:c>
      <x:c r="E7" s="64" t="n">
        <x:f>D7+'차체 견적 대조'!$F$27</x:f>
        <x:v>582760</x:v>
      </x:c>
      <x:c r="F7" s="64" t="n">
        <x:f>D7+'차체 견적 대조'!$F$28</x:f>
        <x:v>632760</x:v>
      </x:c>
      <x:c r="G7" s="63" t="str">
        <x:v>신규 저가 LiDAR안. C1 대표 10Hz의 재관측 공백과 OV2710의 60fps 출력 조건을 확인해야 합니다. ToF2: 좌우 우선 배치 시 ToF의 후방 보완은 생략.</x:v>
      </x:c>
      <x:c r="H7"/>
      <x:c r="I7"/>
      <x:c r="J7"/>
    </x:row>
    <x:row r="8" ht="82" customHeight="1">
      <x:c r="A8" s="63" t="str">
        <x:v>L1v-4</x:v>
      </x:c>
      <x:c r="B8" s="63" t="str">
        <x:v>C1 + OV2710† + ToF 4</x:v>
      </x:c>
      <x:c r="C8" s="57" t="n">
        <x:v>4</x:v>
      </x:c>
      <x:c r="D8" s="65" t="n">
        <x:f>'단가와 출처'!$B$6+'단가와 출처'!$B$22+C8*'단가와 출처'!$B$5</x:f>
        <x:v>303160</x:v>
      </x:c>
      <x:c r="E8" s="64" t="n">
        <x:f>D8+'차체 견적 대조'!$F$27</x:f>
        <x:v>653160</x:v>
      </x:c>
      <x:c r="F8" s="64" t="n">
        <x:f>D8+'차체 견적 대조'!$F$28</x:f>
        <x:v>703160</x:v>
      </x:c>
      <x:c r="G8" s="63" t="str">
        <x:v>신규 저가 LiDAR안. C1 대표 10Hz의 재관측 공백과 OV2710의 60fps 출력 조건을 확인해야 합니다. ToF4: 관측 범위를 넓히는 안이며 전방위 무사각은 아님.</x:v>
      </x:c>
      <x:c r="H8"/>
      <x:c r="I8"/>
      <x:c r="J8"/>
    </x:row>
    <x:row r="9" ht="82" customHeight="1">
      <x:c r="A9" s="61" t="str">
        <x:v>L1-2</x:v>
      </x:c>
      <x:c r="B9" s="61" t="str">
        <x:v>C1 + B0385* + ToF 2</x:v>
      </x:c>
      <x:c r="C9" s="57" t="n">
        <x:v>2</x:v>
      </x:c>
      <x:c r="D9" s="65" t="n">
        <x:f>'단가와 출처'!$B$6+'단가와 출처'!$B$12+C9*'단가와 출처'!$B$5</x:f>
        <x:v>265760</x:v>
      </x:c>
      <x:c r="E9" s="62" t="n">
        <x:f>D9+'차체 견적 대조'!$F$27</x:f>
        <x:v>615760</x:v>
      </x:c>
      <x:c r="F9" s="62" t="n">
        <x:f>D9+'차체 견적 대조'!$F$28</x:f>
        <x:v>665760</x:v>
      </x:c>
      <x:c r="G9" s="61" t="str">
        <x:v>RGB 글로벌 셔터의 저가 LiDAR안. B0385는 국내 품절 비교가이며 C1의 갱신 주기 한계는 남습니다. ToF2: 좌우 우선 배치 시 ToF의 후방 보완은 생략.</x:v>
      </x:c>
      <x:c r="H9"/>
      <x:c r="I9"/>
      <x:c r="J9"/>
    </x:row>
    <x:row r="10" ht="82" customHeight="1">
      <x:c r="A10" s="61" t="str">
        <x:v>L1-4</x:v>
      </x:c>
      <x:c r="B10" s="61" t="str">
        <x:v>C1 + B0385* + ToF 4</x:v>
      </x:c>
      <x:c r="C10" s="57" t="n">
        <x:v>4</x:v>
      </x:c>
      <x:c r="D10" s="65" t="n">
        <x:f>'단가와 출처'!$B$6+'단가와 출처'!$B$12+C10*'단가와 출처'!$B$5</x:f>
        <x:v>336160</x:v>
      </x:c>
      <x:c r="E10" s="62" t="n">
        <x:f>D10+'차체 견적 대조'!$F$27</x:f>
        <x:v>686160</x:v>
      </x:c>
      <x:c r="F10" s="62" t="n">
        <x:f>D10+'차체 견적 대조'!$F$28</x:f>
        <x:v>736160</x:v>
      </x:c>
      <x:c r="G10" s="61" t="str">
        <x:v>RGB 글로벌 셔터의 저가 LiDAR안. B0385는 국내 품절 비교가이며 C1의 갱신 주기 한계는 남습니다. ToF4: 관측 범위를 넓히는 안이며 전방위 무사각은 아님.</x:v>
      </x:c>
      <x:c r="H10"/>
      <x:c r="I10"/>
      <x:c r="J10"/>
    </x:row>
    <x:row r="11" ht="82" customHeight="1">
      <x:c r="A11" s="63" t="str">
        <x:v>L2-2</x:v>
      </x:c>
      <x:c r="B11" s="63" t="str">
        <x:v>C1 + 보유 D435i + ToF 2</x:v>
      </x:c>
      <x:c r="C11" s="57" t="n">
        <x:v>2</x:v>
      </x:c>
      <x:c r="D11" s="65" t="n">
        <x:f>'단가와 출처'!$B$6+C11*'단가와 출처'!$B$5</x:f>
        <x:v>169400</x:v>
      </x:c>
      <x:c r="E11" s="64" t="n">
        <x:f>D11+'차체 견적 대조'!$F$27</x:f>
        <x:v>519400</x:v>
      </x:c>
      <x:c r="F11" s="64" t="n">
        <x:f>D11+'차체 견적 대조'!$F$28</x:f>
        <x:v>569400</x:v>
      </x:c>
      <x:c r="G11" s="63" t="str">
        <x:v>보유 허용 시 LiDAR·깊이 관측 병행안. 개발·동기화 부담이 늘며 센서 추가만으로 성능 향상을 보장하지 않습니다. ToF2: 좌우 우선 배치 시 ToF의 후방 보완은 생략.</x:v>
      </x:c>
      <x:c r="H11"/>
      <x:c r="I11"/>
      <x:c r="J11"/>
    </x:row>
    <x:row r="12" ht="82" customHeight="1">
      <x:c r="A12" s="63" t="str">
        <x:v>L2-4</x:v>
      </x:c>
      <x:c r="B12" s="63" t="str">
        <x:v>C1 + 보유 D435i + ToF 4</x:v>
      </x:c>
      <x:c r="C12" s="57" t="n">
        <x:v>4</x:v>
      </x:c>
      <x:c r="D12" s="65" t="n">
        <x:f>'단가와 출처'!$B$6+C12*'단가와 출처'!$B$5</x:f>
        <x:v>239800</x:v>
      </x:c>
      <x:c r="E12" s="64" t="n">
        <x:f>D12+'차체 견적 대조'!$F$27</x:f>
        <x:v>589800</x:v>
      </x:c>
      <x:c r="F12" s="64" t="n">
        <x:f>D12+'차체 견적 대조'!$F$28</x:f>
        <x:v>639800</x:v>
      </x:c>
      <x:c r="G12" s="63" t="str">
        <x:v>보유 허용 시 LiDAR·깊이 관측 병행안. 개발·동기화 부담이 늘며 센서 추가만으로 성능 향상을 보장하지 않습니다. ToF4: 관측 범위를 넓히는 안이며 전방위 무사각은 아님.</x:v>
      </x:c>
      <x:c r="H12"/>
      <x:c r="I12"/>
      <x:c r="J12"/>
    </x:row>
    <x:row r="13" ht="82" customHeight="1">
      <x:c r="A13" s="61" t="str">
        <x:v>S2-2</x:v>
      </x:c>
      <x:c r="B13" s="61" t="str">
        <x:v>OAK-D Lite FF + ToF 2</x:v>
      </x:c>
      <x:c r="C13" s="57" t="n">
        <x:v>2</x:v>
      </x:c>
      <x:c r="D13" s="65" t="n">
        <x:f>'단가와 출처'!$B$7+C13*'단가와 출처'!$B$5</x:f>
        <x:v>455301</x:v>
      </x:c>
      <x:c r="E13" s="62" t="n">
        <x:f>D13+'차체 견적 대조'!$F$27</x:f>
        <x:v>805301</x:v>
      </x:c>
      <x:c r="F13" s="62" t="n">
        <x:f>D13+'차체 견적 대조'!$F$28</x:f>
        <x:v>855301</x:v>
      </x:c>
      <x:c r="G13" s="61" t="str">
        <x:v>저가 조건부 안. IR 프로젝터 없음, 깊이용 입력 480p, RGB 최대35fps. 무늬 적은 노면의 깊이 시험이 선행되어야 합니다. ToF2: 좌우 우선 배치 시 ToF의 후방 보완은 생략.</x:v>
      </x:c>
      <x:c r="H13"/>
      <x:c r="I13"/>
      <x:c r="J13"/>
    </x:row>
    <x:row r="14" ht="82" customHeight="1">
      <x:c r="A14" s="61" t="str">
        <x:v>S2-4</x:v>
      </x:c>
      <x:c r="B14" s="61" t="str">
        <x:v>OAK-D Lite FF + ToF 4</x:v>
      </x:c>
      <x:c r="C14" s="57" t="n">
        <x:v>4</x:v>
      </x:c>
      <x:c r="D14" s="65" t="n">
        <x:f>'단가와 출처'!$B$7+C14*'단가와 출처'!$B$5</x:f>
        <x:v>525701</x:v>
      </x:c>
      <x:c r="E14" s="62" t="n">
        <x:f>D14+'차체 견적 대조'!$F$27</x:f>
        <x:v>875701</x:v>
      </x:c>
      <x:c r="F14" s="62" t="n">
        <x:f>D14+'차체 견적 대조'!$F$28</x:f>
        <x:v>925701</x:v>
      </x:c>
      <x:c r="G14" s="61" t="str">
        <x:v>저가 조건부 안. IR 프로젝터 없음, 깊이용 입력 480p, RGB 최대35fps. 무늬 적은 노면의 깊이 시험이 선행되어야 합니다. ToF4: 관측 범위를 넓히는 안이며 전방위 무사각은 아님.</x:v>
      </x:c>
      <x:c r="H14"/>
      <x:c r="I14"/>
      <x:c r="J14"/>
    </x:row>
    <x:row r="15" ht="82" customHeight="1">
      <x:c r="A15" s="63" t="str">
        <x:v>SG2-2</x:v>
      </x:c>
      <x:c r="B15" s="63" t="str">
        <x:v>Gemini 2 + ToF 2</x:v>
      </x:c>
      <x:c r="C15" s="57" t="n">
        <x:v>2</x:v>
      </x:c>
      <x:c r="D15" s="65" t="n">
        <x:f>'단가와 출처'!$B$24+C15*'단가와 출처'!$B$5</x:f>
        <x:v>524700</x:v>
      </x:c>
      <x:c r="E15" s="64" t="n">
        <x:f>D15+'차체 견적 대조'!$F$27</x:f>
        <x:v>874700</x:v>
      </x:c>
      <x:c r="F15" s="64" t="n">
        <x:f>D15+'차체 견적 대조'!$F$28</x:f>
        <x:v>924700</x:v>
      </x:c>
      <x:c r="G15" s="63" t="str">
        <x:v>저가 IR 탑재안. 실내 우선 모델입니다. Gemini335보다 51,700원 저렴하므로 절감액과 처리 프로필을 함께 비교합니다. ToF2: 좌우 우선 배치 시 ToF의 후방 보완은 생략.</x:v>
      </x:c>
      <x:c r="H15"/>
      <x:c r="I15"/>
      <x:c r="J15"/>
    </x:row>
    <x:row r="16" ht="82" customHeight="1">
      <x:c r="A16" s="63" t="str">
        <x:v>SG2-4</x:v>
      </x:c>
      <x:c r="B16" s="63" t="str">
        <x:v>Gemini 2 + ToF 4</x:v>
      </x:c>
      <x:c r="C16" s="57" t="n">
        <x:v>4</x:v>
      </x:c>
      <x:c r="D16" s="65" t="n">
        <x:f>'단가와 출처'!$B$24+C16*'단가와 출처'!$B$5</x:f>
        <x:v>595100</x:v>
      </x:c>
      <x:c r="E16" s="64" t="n">
        <x:f>D16+'차체 견적 대조'!$F$27</x:f>
        <x:v>945100</x:v>
      </x:c>
      <x:c r="F16" s="64" t="n">
        <x:f>D16+'차체 견적 대조'!$F$28</x:f>
        <x:v>995100</x:v>
      </x:c>
      <x:c r="G16" s="63" t="str">
        <x:v>저가 IR 탑재안. 실내 우선 모델입니다. Gemini335보다 51,700원 저렴하므로 절감액과 처리 프로필을 함께 비교합니다. ToF4: 관측 범위를 넓히는 안이며 전방위 무사각은 아님.</x:v>
      </x:c>
      <x:c r="H16"/>
      <x:c r="I16"/>
      <x:c r="J16"/>
    </x:row>
    <x:row r="17" ht="82" customHeight="1">
      <x:c r="A17" s="61" t="str">
        <x:v>S3-2</x:v>
      </x:c>
      <x:c r="B17" s="61" t="str">
        <x:v>Gemini 335 + ToF 2</x:v>
      </x:c>
      <x:c r="C17" s="57" t="n">
        <x:v>2</x:v>
      </x:c>
      <x:c r="D17" s="65" t="n">
        <x:f>'단가와 출처'!$B$8+C17*'단가와 출처'!$B$5</x:f>
        <x:v>576400</x:v>
      </x:c>
      <x:c r="E17" s="62" t="n">
        <x:f>D17+'차체 견적 대조'!$F$27</x:f>
        <x:v>926400</x:v>
      </x:c>
      <x:c r="F17" s="62" t="n">
        <x:f>D17+'차체 견적 대조'!$F$28</x:f>
        <x:v>976400</x:v>
      </x:c>
      <x:c r="G17" s="61" t="str">
        <x:v>신규 가성비 우선 후보. IR·능동/수동 깊이와 848×480@60fps 프로필이 장점입니다. RGB는 롤링 셔터입니다. ToF2: 좌우 우선 배치 시 ToF의 후방 보완은 생략.</x:v>
      </x:c>
      <x:c r="H17"/>
      <x:c r="I17"/>
      <x:c r="J17"/>
    </x:row>
    <x:row r="18" ht="82" customHeight="1">
      <x:c r="A18" s="61" t="str">
        <x:v>S3-4</x:v>
      </x:c>
      <x:c r="B18" s="61" t="str">
        <x:v>Gemini 335 + ToF 4</x:v>
      </x:c>
      <x:c r="C18" s="57" t="n">
        <x:v>4</x:v>
      </x:c>
      <x:c r="D18" s="65" t="n">
        <x:f>'단가와 출처'!$B$8+C18*'단가와 출처'!$B$5</x:f>
        <x:v>646800</x:v>
      </x:c>
      <x:c r="E18" s="62" t="n">
        <x:f>D18+'차체 견적 대조'!$F$27</x:f>
        <x:v>996800</x:v>
      </x:c>
      <x:c r="F18" s="62" t="n">
        <x:f>D18+'차체 견적 대조'!$F$28</x:f>
        <x:v>1046800</x:v>
      </x:c>
      <x:c r="G18" s="61" t="str">
        <x:v>신규 가성비 우선 후보. IR·능동/수동 깊이와 848×480@60fps 프로필이 장점입니다. RGB는 롤링 셔터입니다. ToF4: 관측 범위를 넓히는 안이며 전방위 무사각은 아님.</x:v>
      </x:c>
      <x:c r="H18"/>
      <x:c r="I18"/>
      <x:c r="J18"/>
    </x:row>
    <x:row r="19" ht="82" customHeight="1">
      <x:c r="A19" s="63" t="str">
        <x:v>SG335L-2</x:v>
      </x:c>
      <x:c r="B19" s="63" t="str">
        <x:v>Gemini 335L + ToF 2</x:v>
      </x:c>
      <x:c r="C19" s="57" t="n">
        <x:v>2</x:v>
      </x:c>
      <x:c r="D19" s="65" t="n">
        <x:f>'단가와 출처'!$B$25+C19*'단가와 출처'!$B$5</x:f>
        <x:v>675400</x:v>
      </x:c>
      <x:c r="E19" s="64" t="n">
        <x:f>D19+'차체 견적 대조'!$F$27</x:f>
        <x:v>1025400</x:v>
      </x:c>
      <x:c r="F19" s="64" t="n">
        <x:f>D19+'차체 견적 대조'!$F$28</x:f>
        <x:v>1075400</x:v>
      </x:c>
      <x:c r="G19" s="63" t="str">
        <x:v>상위 우선 후보. IR·RGB 글로벌 셔터60fps·95mm 기선. 335보다99,000원 높으며 근접 노면·가림은 시험해야 합니다. ToF2: 좌우 우선 배치 시 ToF의 후방 보완은 생략.</x:v>
      </x:c>
      <x:c r="H19"/>
      <x:c r="I19"/>
      <x:c r="J19"/>
    </x:row>
    <x:row r="20" ht="82" customHeight="1">
      <x:c r="A20" s="63" t="str">
        <x:v>SG335L-4</x:v>
      </x:c>
      <x:c r="B20" s="63" t="str">
        <x:v>Gemini 335L + ToF 4</x:v>
      </x:c>
      <x:c r="C20" s="57" t="n">
        <x:v>4</x:v>
      </x:c>
      <x:c r="D20" s="65" t="n">
        <x:f>'단가와 출처'!$B$25+C20*'단가와 출처'!$B$5</x:f>
        <x:v>745800</x:v>
      </x:c>
      <x:c r="E20" s="64" t="n">
        <x:f>D20+'차체 견적 대조'!$F$27</x:f>
        <x:v>1095800</x:v>
      </x:c>
      <x:c r="F20" s="64" t="n">
        <x:f>D20+'차체 견적 대조'!$F$28</x:f>
        <x:v>1145800</x:v>
      </x:c>
      <x:c r="G20" s="63" t="str">
        <x:v>상위 우선 후보. IR·RGB 글로벌 셔터60fps·95mm 기선. 335보다99,000원 높으며 근접 노면·가림은 시험해야 합니다. ToF4: 관측 범위를 넓히는 안이며 전방위 무사각은 아님.</x:v>
      </x:c>
      <x:c r="H20"/>
      <x:c r="I20"/>
      <x:c r="J20"/>
    </x:row>
    <x:row r="21" ht="82" customHeight="1">
      <x:c r="A21" s="61" t="str">
        <x:v>S4-2</x:v>
      </x:c>
      <x:c r="B21" s="61" t="str">
        <x:v>신규 D435i + ToF 2</x:v>
      </x:c>
      <x:c r="C21" s="57" t="n">
        <x:v>2</x:v>
      </x:c>
      <x:c r="D21" s="65" t="n">
        <x:f>'단가와 출처'!$B$9+C21*'단가와 출처'!$B$5</x:f>
        <x:v>633400</x:v>
      </x:c>
      <x:c r="E21" s="62" t="n">
        <x:f>D21+'차체 견적 대조'!$F$27</x:f>
        <x:v>983400</x:v>
      </x:c>
      <x:c r="F21" s="62" t="n">
        <x:f>D21+'차체 견적 대조'!$F$28</x:f>
        <x:v>1033400</x:v>
      </x:c>
      <x:c r="G21" s="61" t="str">
        <x:v>보유품과 같은 개발 환경이 장점입니다. 표시가가 D436과34,000원 차이여서 신규 구매 우선순위는 낮습니다. VAT 확인. ToF2: 좌우 우선 배치 시 ToF의 후방 보완은 생략.</x:v>
      </x:c>
      <x:c r="H21"/>
      <x:c r="I21"/>
      <x:c r="J21"/>
    </x:row>
    <x:row r="22" ht="82" customHeight="1">
      <x:c r="A22" s="61" t="str">
        <x:v>S4-4</x:v>
      </x:c>
      <x:c r="B22" s="61" t="str">
        <x:v>신규 D435i + ToF 4</x:v>
      </x:c>
      <x:c r="C22" s="57" t="n">
        <x:v>4</x:v>
      </x:c>
      <x:c r="D22" s="65" t="n">
        <x:f>'단가와 출처'!$B$9+C22*'단가와 출처'!$B$5</x:f>
        <x:v>703800</x:v>
      </x:c>
      <x:c r="E22" s="62" t="n">
        <x:f>D22+'차체 견적 대조'!$F$27</x:f>
        <x:v>1053800</x:v>
      </x:c>
      <x:c r="F22" s="62" t="n">
        <x:f>D22+'차체 견적 대조'!$F$28</x:f>
        <x:v>1103800</x:v>
      </x:c>
      <x:c r="G22" s="61" t="str">
        <x:v>보유품과 같은 개발 환경이 장점입니다. 표시가가 D436과34,000원 차이여서 신규 구매 우선순위는 낮습니다. VAT 확인. ToF4: 관측 범위를 넓히는 안이며 전방위 무사각은 아님.</x:v>
      </x:c>
      <x:c r="H22"/>
      <x:c r="I22"/>
      <x:c r="J22"/>
    </x:row>
    <x:row r="23" ht="82" customHeight="1">
      <x:c r="A23" s="63" t="str">
        <x:v>S5-2</x:v>
      </x:c>
      <x:c r="B23" s="63" t="str">
        <x:v>D436 + ToF 2</x:v>
      </x:c>
      <x:c r="C23" s="57" t="n">
        <x:v>2</x:v>
      </x:c>
      <x:c r="D23" s="65" t="n">
        <x:f>'단가와 출처'!$B$10+C23*'단가와 출처'!$B$5</x:f>
        <x:v>667400</x:v>
      </x:c>
      <x:c r="E23" s="64" t="n">
        <x:f>D23+'차체 견적 대조'!$F$27</x:f>
        <x:v>1017400</x:v>
      </x:c>
      <x:c r="F23" s="64" t="n">
        <x:f>D23+'차체 견적 대조'!$F$28</x:f>
        <x:v>1067400</x:v>
      </x:c>
      <x:c r="G23" s="63" t="str">
        <x:v>상위 우선 후보. IR·RGB 글로벌 셔터 최대60fps, 기존 RealSense 작업 재사용 이점. VAT와 동시 출력 지연 확인. ToF2: 좌우 우선 배치 시 ToF의 후방 보완은 생략.</x:v>
      </x:c>
      <x:c r="H23"/>
      <x:c r="I23"/>
      <x:c r="J23"/>
    </x:row>
    <x:row r="24" ht="82" customHeight="1">
      <x:c r="A24" s="63" t="str">
        <x:v>S5-4</x:v>
      </x:c>
      <x:c r="B24" s="63" t="str">
        <x:v>D436 + ToF 4</x:v>
      </x:c>
      <x:c r="C24" s="57" t="n">
        <x:v>4</x:v>
      </x:c>
      <x:c r="D24" s="65" t="n">
        <x:f>'단가와 출처'!$B$10+C24*'단가와 출처'!$B$5</x:f>
        <x:v>737800</x:v>
      </x:c>
      <x:c r="E24" s="64" t="n">
        <x:f>D24+'차체 견적 대조'!$F$27</x:f>
        <x:v>1087800</x:v>
      </x:c>
      <x:c r="F24" s="64" t="n">
        <x:f>D24+'차체 견적 대조'!$F$28</x:f>
        <x:v>1137800</x:v>
      </x:c>
      <x:c r="G24" s="63" t="str">
        <x:v>상위 우선 후보. IR·RGB 글로벌 셔터 최대60fps, 기존 RealSense 작업 재사용 이점. VAT와 동시 출력 지연 확인. ToF4: 관측 범위를 넓히는 안이며 전방위 무사각은 아님.</x:v>
      </x:c>
      <x:c r="H24"/>
      <x:c r="I24"/>
      <x:c r="J24"/>
    </x:row>
    <x:row r="25" ht="82" customHeight="1">
      <x:c r="A25" s="61" t="str">
        <x:v>SD455-2</x:v>
      </x:c>
      <x:c r="B25" s="61" t="str">
        <x:v>D455 + ToF 2</x:v>
      </x:c>
      <x:c r="C25" s="57" t="n">
        <x:v>2</x:v>
      </x:c>
      <x:c r="D25" s="65" t="n">
        <x:f>'단가와 출처'!$B$28+C25*'단가와 출처'!$B$5</x:f>
        <x:v>780400</x:v>
      </x:c>
      <x:c r="E25" s="62" t="n">
        <x:f>D25+'차체 견적 대조'!$F$27</x:f>
        <x:v>1130400</x:v>
      </x:c>
      <x:c r="F25" s="62" t="n">
        <x:f>D25+'차체 견적 대조'!$F$28</x:f>
        <x:v>1180400</x:v>
      </x:c>
      <x:c r="G25" s="61" t="str">
        <x:v>원거리 관측 비교안. IR·95mm 기선, RGB 글로벌 셔터30fps. 최대 해상도 최소 깊이 약52cm여서 근접 관측 조건 확인. VAT 확인. ToF2: 좌우 우선 배치 시 ToF의 후방 보완은 생략.</x:v>
      </x:c>
      <x:c r="H25"/>
      <x:c r="I25"/>
      <x:c r="J25"/>
    </x:row>
    <x:row r="26" ht="82" customHeight="1">
      <x:c r="A26" s="61" t="str">
        <x:v>SD455-4</x:v>
      </x:c>
      <x:c r="B26" s="61" t="str">
        <x:v>D455 + ToF 4</x:v>
      </x:c>
      <x:c r="C26" s="57" t="n">
        <x:v>4</x:v>
      </x:c>
      <x:c r="D26" s="65" t="n">
        <x:f>'단가와 출처'!$B$28+C26*'단가와 출처'!$B$5</x:f>
        <x:v>850800</x:v>
      </x:c>
      <x:c r="E26" s="62" t="n">
        <x:f>D26+'차체 견적 대조'!$F$27</x:f>
        <x:v>1200800</x:v>
      </x:c>
      <x:c r="F26" s="62" t="n">
        <x:f>D26+'차체 견적 대조'!$F$28</x:f>
        <x:v>1250800</x:v>
      </x:c>
      <x:c r="G26" s="61" t="str">
        <x:v>원거리 관측 비교안. IR·95mm 기선, RGB 글로벌 셔터30fps. 최대 해상도 최소 깊이 약52cm여서 근접 관측 조건 확인. VAT 확인. ToF4: 관측 범위를 넓히는 안이며 전방위 무사각은 아님.</x:v>
      </x:c>
      <x:c r="H26"/>
      <x:c r="I26"/>
      <x:c r="J26"/>
    </x:row>
    <x:row r="27" ht="82" customHeight="1">
      <x:c r="A27" s="63" t="str">
        <x:v>SO2-2</x:v>
      </x:c>
      <x:c r="B27" s="63" t="str">
        <x:v>OAK-D S2 FF + ToF 2</x:v>
      </x:c>
      <x:c r="C27" s="57" t="n">
        <x:v>2</x:v>
      </x:c>
      <x:c r="D27" s="65" t="n">
        <x:f>'단가와 출처'!$B$26+C27*'단가와 출처'!$B$5</x:f>
        <x:v>719400</x:v>
      </x:c>
      <x:c r="E27" s="64" t="n">
        <x:f>D27+'차체 견적 대조'!$F$27</x:f>
        <x:v>1069400</x:v>
      </x:c>
      <x:c r="F27" s="64" t="n">
        <x:f>D27+'차체 견적 대조'!$F$28</x:f>
        <x:v>1119400</x:v>
      </x:c>
      <x:c r="G27" s="63" t="str">
        <x:v>800p 스테레오 입력의 OAK 비교안. IR 프로젝터가 없어 Lite의 무늬 부족 문제를 해결하는 업그레이드는 아닙니다. ToF2: 좌우 우선 배치 시 ToF의 후방 보완은 생략.</x:v>
      </x:c>
      <x:c r="H27"/>
      <x:c r="I27"/>
      <x:c r="J27"/>
    </x:row>
    <x:row r="28" ht="82" customHeight="1">
      <x:c r="A28" s="63" t="str">
        <x:v>SO2-4</x:v>
      </x:c>
      <x:c r="B28" s="63" t="str">
        <x:v>OAK-D S2 FF + ToF 4</x:v>
      </x:c>
      <x:c r="C28" s="57" t="n">
        <x:v>4</x:v>
      </x:c>
      <x:c r="D28" s="65" t="n">
        <x:f>'단가와 출처'!$B$26+C28*'단가와 출처'!$B$5</x:f>
        <x:v>789800</x:v>
      </x:c>
      <x:c r="E28" s="64" t="n">
        <x:f>D28+'차체 견적 대조'!$F$27</x:f>
        <x:v>1139800</x:v>
      </x:c>
      <x:c r="F28" s="64" t="n">
        <x:f>D28+'차체 견적 대조'!$F$28</x:f>
        <x:v>1189800</x:v>
      </x:c>
      <x:c r="G28" s="63" t="str">
        <x:v>800p 스테레오 입력의 OAK 비교안. IR 프로젝터가 없어 Lite의 무늬 부족 문제를 해결하는 업그레이드는 아닙니다. ToF4: 관측 범위를 넓히는 안이며 전방위 무사각은 아님.</x:v>
      </x:c>
      <x:c r="H28"/>
      <x:c r="I28"/>
      <x:c r="J28"/>
    </x:row>
    <x:row r="29" ht="82" customHeight="1">
      <x:c r="A29" s="61" t="str">
        <x:v>SOP-2</x:v>
      </x:c>
      <x:c r="B29" s="61" t="str">
        <x:v>OAK-D Pro FF / IMX378 + ToF 2</x:v>
      </x:c>
      <x:c r="C29" s="57" t="n">
        <x:v>2</x:v>
      </x:c>
      <x:c r="D29" s="65" t="n">
        <x:f>'단가와 출처'!$B$27+C29*'단가와 출처'!$B$5</x:f>
        <x:v>922900</x:v>
      </x:c>
      <x:c r="E29" s="62" t="n">
        <x:f>D29+'차체 견적 대조'!$F$27</x:f>
        <x:v>1272900</x:v>
      </x:c>
      <x:c r="F29" s="62" t="n">
        <x:f>D29+'차체 견적 대조'!$F$28</x:f>
        <x:v>1322900</x:v>
      </x:c>
      <x:c r="G29" s="61" t="str">
        <x:v>IR 점무늬·투광기와 장치 내 처리가 필요한 상위 OAK안. RGB는 롤링 셔터입니다. 전원·가격을 고려하면 회의 본문 우선순위는 낮습니다. ToF2: 좌우 우선 배치 시 ToF의 후방 보완은 생략.</x:v>
      </x:c>
    </x:row>
    <x:row r="30" ht="82" customHeight="1">
      <x:c r="A30" s="61" t="str">
        <x:v>SOP-4</x:v>
      </x:c>
      <x:c r="B30" s="61" t="str">
        <x:v>OAK-D Pro FF / IMX378 + ToF 4</x:v>
      </x:c>
      <x:c r="C30" s="57" t="n">
        <x:v>4</x:v>
      </x:c>
      <x:c r="D30" s="65" t="n">
        <x:f>'단가와 출처'!$B$27+C30*'단가와 출처'!$B$5</x:f>
        <x:v>993300</x:v>
      </x:c>
      <x:c r="E30" s="62" t="n">
        <x:f>D30+'차체 견적 대조'!$F$27</x:f>
        <x:v>1343300</x:v>
      </x:c>
      <x:c r="F30" s="62" t="n">
        <x:f>D30+'차체 견적 대조'!$F$28</x:f>
        <x:v>1393300</x:v>
      </x:c>
      <x:c r="G30" s="61" t="str">
        <x:v>IR 점무늬·투광기와 장치 내 처리가 필요한 상위 OAK안. RGB는 롤링 셔터입니다. 전원·가격을 고려하면 회의 본문 우선순위는 낮습니다. ToF4: 관측 범위를 넓히는 안이며 전방위 무사각은 아님.</x:v>
      </x:c>
    </x:row>
    <x:row r="31" ht="82" customHeight="1">
      <x:c r="A31" s="63" t="str">
        <x:v>SOPG-2</x:v>
      </x:c>
      <x:c r="B31" s="63" t="str">
        <x:v>OAK-D Pro FF-97 / OV9782 + ToF 2</x:v>
      </x:c>
      <x:c r="C31" s="57" t="n">
        <x:v>2</x:v>
      </x:c>
      <x:c r="D31" s="65" t="n">
        <x:f>'단가와 출처'!$B$29+C31*'단가와 출처'!$B$5</x:f>
        <x:v>1016400</x:v>
      </x:c>
      <x:c r="E31" s="64" t="n">
        <x:f>D31+'차체 견적 대조'!$F$27</x:f>
        <x:v>1366400</x:v>
      </x:c>
      <x:c r="F31" s="64" t="n">
        <x:f>D31+'차체 견적 대조'!$F$28</x:f>
        <x:v>1416400</x:v>
      </x:c>
      <x:c r="G31" s="63" t="str">
        <x:v>IR과 RGB 글로벌 셔터를 모두 갖춘 상위 OAK안. 고속 RGB 센서 입력이 깊이·인식 처리율을 뜻하지 않으며 추가 비용이 큽니다. ToF2: 좌우 우선 배치 시 ToF의 후방 보완은 생략.</x:v>
      </x:c>
    </x:row>
    <x:row r="32" ht="82" customHeight="1">
      <x:c r="A32" s="63" t="str">
        <x:v>SOPG-4</x:v>
      </x:c>
      <x:c r="B32" s="63" t="str">
        <x:v>OAK-D Pro FF-97 / OV9782 + ToF 4</x:v>
      </x:c>
      <x:c r="C32" s="57" t="n">
        <x:v>4</x:v>
      </x:c>
      <x:c r="D32" s="65" t="n">
        <x:f>'단가와 출처'!$B$29+C32*'단가와 출처'!$B$5</x:f>
        <x:v>1086800</x:v>
      </x:c>
      <x:c r="E32" s="64" t="n">
        <x:f>D32+'차체 견적 대조'!$F$27</x:f>
        <x:v>1436800</x:v>
      </x:c>
      <x:c r="F32" s="64" t="n">
        <x:f>D32+'차체 견적 대조'!$F$28</x:f>
        <x:v>1486800</x:v>
      </x:c>
      <x:c r="G32" s="63" t="str">
        <x:v>IR과 RGB 글로벌 셔터를 모두 갖춘 상위 OAK안. 고속 RGB 센서 입력이 깊이·인식 처리율을 뜻하지 않으며 추가 비용이 큽니다. ToF4: 관측 범위를 넓히는 안이며 전방위 무사각은 아님.</x:v>
      </x:c>
    </x:row>
    <x:row r="33" ht="82" customHeight="1">
      <x:c r="A33" s="61" t="str">
        <x:v>L3v-2</x:v>
      </x:c>
      <x:c r="B33" s="61" t="str">
        <x:v>RPLIDAR S3 20Hz + OV2710† + ToF 2</x:v>
      </x:c>
      <x:c r="C33" s="57" t="n">
        <x:v>2</x:v>
      </x:c>
      <x:c r="D33" s="65" t="n">
        <x:f>'단가와 출처'!$B$11+'단가와 출처'!$B$22+C33*'단가와 출처'!$B$5</x:f>
        <x:v>872960</x:v>
      </x:c>
      <x:c r="E33" s="62" t="n">
        <x:f>D33+'차체 견적 대조'!$F$27</x:f>
        <x:v>1222960</x:v>
      </x:c>
      <x:c r="F33" s="62" t="n">
        <x:f>D33+'차체 견적 대조'!$F$28</x:f>
        <x:v>1272960</x:v>
      </x:c>
      <x:c r="G33" s="61" t="str">
        <x:v>빠른 회전 LiDAR 비교안. 20Hz는 S3 지원 범위의 상단이며 설정·실효 스캔을 확인해야 합니다. RGB60fps 조건도 미확인입니다. ToF2: 좌우 우선 배치 시 ToF의 후방 보완은 생략.</x:v>
      </x:c>
    </x:row>
    <x:row r="34" ht="82" customHeight="1">
      <x:c r="A34" s="61" t="str">
        <x:v>L3v-4</x:v>
      </x:c>
      <x:c r="B34" s="61" t="str">
        <x:v>RPLIDAR S3 20Hz + OV2710† + ToF 4</x:v>
      </x:c>
      <x:c r="C34" s="57" t="n">
        <x:v>4</x:v>
      </x:c>
      <x:c r="D34" s="65" t="n">
        <x:f>'단가와 출처'!$B$11+'단가와 출처'!$B$22+C34*'단가와 출처'!$B$5</x:f>
        <x:v>943360</x:v>
      </x:c>
      <x:c r="E34" s="62" t="n">
        <x:f>D34+'차체 견적 대조'!$F$27</x:f>
        <x:v>1293360</x:v>
      </x:c>
      <x:c r="F34" s="62" t="n">
        <x:f>D34+'차체 견적 대조'!$F$28</x:f>
        <x:v>1343360</x:v>
      </x:c>
      <x:c r="G34" s="61" t="str">
        <x:v>빠른 회전 LiDAR 비교안. 20Hz는 S3 지원 범위의 상단이며 설정·실효 스캔을 확인해야 합니다. RGB60fps 조건도 미확인입니다. ToF4: 관측 범위를 넓히는 안이며 전방위 무사각은 아님.</x:v>
      </x:c>
    </x:row>
    <x:row r="35" ht="82" customHeight="1">
      <x:c r="A35" s="63" t="str">
        <x:v>L3-2</x:v>
      </x:c>
      <x:c r="B35" s="63" t="str">
        <x:v>RPLIDAR S3 20Hz + B0385* + ToF 2</x:v>
      </x:c>
      <x:c r="C35" s="57" t="n">
        <x:v>2</x:v>
      </x:c>
      <x:c r="D35" s="65" t="n">
        <x:f>'단가와 출처'!$B$11+'단가와 출처'!$B$12+C35*'단가와 출처'!$B$5</x:f>
        <x:v>905960</x:v>
      </x:c>
      <x:c r="E35" s="64" t="n">
        <x:f>D35+'차체 견적 대조'!$F$27</x:f>
        <x:v>1255960</x:v>
      </x:c>
      <x:c r="F35" s="64" t="n">
        <x:f>D35+'차체 견적 대조'!$F$28</x:f>
        <x:v>1305960</x:v>
      </x:c>
      <x:c r="G35" s="63" t="str">
        <x:v>빠른 회전 LiDAR와 글로벌 셔터 RGB 비교안. B0385는 품절이며 실제 스캔·영상 지연 검증이 필요합니다. ToF2: 좌우 우선 배치 시 ToF의 후방 보완은 생략.</x:v>
      </x:c>
    </x:row>
    <x:row r="36" ht="82" customHeight="1">
      <x:c r="A36" s="63" t="str">
        <x:v>L3-4</x:v>
      </x:c>
      <x:c r="B36" s="63" t="str">
        <x:v>RPLIDAR S3 20Hz + B0385* + ToF 4</x:v>
      </x:c>
      <x:c r="C36" s="57" t="n">
        <x:v>4</x:v>
      </x:c>
      <x:c r="D36" s="65" t="n">
        <x:f>'단가와 출처'!$B$11+'단가와 출처'!$B$12+C36*'단가와 출처'!$B$5</x:f>
        <x:v>976360</x:v>
      </x:c>
      <x:c r="E36" s="64" t="n">
        <x:f>D36+'차체 견적 대조'!$F$27</x:f>
        <x:v>1326360</x:v>
      </x:c>
      <x:c r="F36" s="64" t="n">
        <x:f>D36+'차체 견적 대조'!$F$28</x:f>
        <x:v>1376360</x:v>
      </x:c>
      <x:c r="G36" s="63" t="str">
        <x:v>빠른 회전 LiDAR와 글로벌 셔터 RGB 비교안. B0385는 품절이며 실제 스캔·영상 지연 검증이 필요합니다. ToF4: 관측 범위를 넓히는 안이며 전방위 무사각은 아님.</x:v>
      </x:c>
    </x:row>
    <x:row r="37" ht="82" customHeight="1">
      <x:c r="A37" s="61" t="str">
        <x:v>H-2</x:v>
      </x:c>
      <x:c r="B37" s="61" t="str">
        <x:v>D436 + C1 + ToF 2</x:v>
      </x:c>
      <x:c r="C37" s="57" t="n">
        <x:v>2</x:v>
      </x:c>
      <x:c r="D37" s="65" t="n">
        <x:f>'단가와 출처'!$B$10+'단가와 출처'!$B$6+C37*'단가와 출처'!$B$5</x:f>
        <x:v>766400</x:v>
      </x:c>
      <x:c r="E37" s="62" t="n">
        <x:f>D37+'차체 견적 대조'!$F$27</x:f>
        <x:v>1116400</x:v>
      </x:c>
      <x:c r="F37" s="62" t="n">
        <x:f>D37+'차체 견적 대조'!$F$28</x:f>
        <x:v>1166400</x:v>
      </x:c>
      <x:c r="G37" s="61" t="str">
        <x:v>깊이와 LiDAR를 병행하는 확장안. 센서·연산·통합 부담이 커서 단일 방식 시험 후 보완 필요가 확인되면 고려합니다. VAT 확인. ToF2: 좌우 우선 배치 시 ToF의 후방 보완은 생략.</x:v>
      </x:c>
    </x:row>
    <x:row r="38" ht="82" customHeight="1">
      <x:c r="A38" s="61" t="str">
        <x:v>H-4</x:v>
      </x:c>
      <x:c r="B38" s="61" t="str">
        <x:v>D436 + C1 + ToF 4</x:v>
      </x:c>
      <x:c r="C38" s="57" t="n">
        <x:v>4</x:v>
      </x:c>
      <x:c r="D38" s="65" t="n">
        <x:f>'단가와 출처'!$B$10+'단가와 출처'!$B$6+C38*'단가와 출처'!$B$5</x:f>
        <x:v>836800</x:v>
      </x:c>
      <x:c r="E38" s="62" t="n">
        <x:f>D38+'차체 견적 대조'!$F$27</x:f>
        <x:v>1186800</x:v>
      </x:c>
      <x:c r="F38" s="62" t="n">
        <x:f>D38+'차체 견적 대조'!$F$28</x:f>
        <x:v>1236800</x:v>
      </x:c>
      <x:c r="G38" s="61" t="str">
        <x:v>깊이와 LiDAR를 병행하는 확장안. 센서·연산·통합 부담이 커서 단일 방식 시험 후 보완 필요가 확인되면 고려합니다. VAT 확인. ToF4: 관측 범위를 넓히는 안이며 전방위 무사각은 아님.</x:v>
      </x:c>
    </x:row>
    <x:row r="39" ht="55" customHeight="1">
      <x:c r="A39" s="3" t="str">
        <x:v>추천 기준</x:v>
      </x:c>
      <x:c r="B39" s="3" t="str">
        <x:v>신규 가성비는 Gemini335, 상위안은 Gemini335L·D436을 우선 비교합니다. 보유 허용 시 D435i가 우선이며 OAK Lite는 노면 시험을 전제로 한 절감안입니다. 팀 결정이 아닙니다.</x:v>
      </x:c>
      <x:c r="C39" s="3"/>
      <x:c r="D39" s="3"/>
      <x:c r="E39" s="3"/>
      <x:c r="F39" s="3"/>
      <x:c r="G39" s="3"/>
    </x:row>
    <x:row r="40" ht="55" customHeight="1">
      <x:c r="A40" s="3" t="str">
        <x:v>IR의 역할</x:v>
      </x:c>
      <x:c r="B40" s="3" t="str">
        <x:v>IR 점무늬는 무늬 적은 표면의 깊이 대응점 찾기를 돕습니다. Lite·일반 S2에는 없으며 추가 ToF2/4가 그 기능을 대신하지 않습니다. 현장 효과는 표면·조명·거리별 시험이 필요합니다.</x:v>
      </x:c>
      <x:c r="C40" s="3"/>
      <x:c r="D40" s="3"/>
      <x:c r="E40" s="3"/>
      <x:c r="F40" s="3"/>
      <x:c r="G40" s="3"/>
    </x:row>
    <x:row r="41" ht="55" customHeight="1">
      <x:c r="A41" s="3" t="str">
        <x:v>촬영 조건</x:v>
      </x:c>
      <x:c r="B41" s="3" t="str">
        <x:v>스테레오 비교에서 RGB 셔터·깊이 프로필을 구분합니다. 최대 센서 입력 fps는 깊이·RGB·인식 알고리즘의 동시 처리율을 보증하지 않습니다.</x:v>
      </x:c>
      <x:c r="C41" s="3"/>
      <x:c r="D41" s="3"/>
      <x:c r="E41" s="3"/>
      <x:c r="F41" s="3"/>
      <x:c r="G41" s="3"/>
    </x:row>
    <x:row r="42" ht="55" customHeight="1">
      <x:c r="A42" s="3" t="str">
        <x:v>세금·배송</x:v>
      </x:c>
      <x:c r="B42" s="3" t="str">
        <x:v>D435i/D436/D455는 VAT 포함 미확인 표시가입니다. 별도 부가세라면 단가의10%가 증가합니다. 배송비는 합계 제외. 모든 후보의 주문 시 재고·납기를 확인합니다.</x:v>
      </x:c>
      <x:c r="C42" s="3"/>
      <x:c r="D42" s="3"/>
      <x:c r="E42" s="3"/>
      <x:c r="F42" s="3"/>
      <x:c r="G42" s="3"/>
    </x:row>
    <x:row r="43" ht="55" customHeight="1">
      <x:c r="A43" s="3" t="str">
        <x:v>구매비 범위</x:v>
      </x:c>
      <x:c r="B43" s="3" t="str">
        <x:v>센서 단가×수량만 계산합니다. 보유 D435i의 신규 지출은0원이며 규정 평가액은 미정입니다. ESP32-S3는 보드·담당 예산 미정으로 제외합니다.</x:v>
      </x:c>
      <x:c r="C43" s="3"/>
      <x:c r="D43" s="3"/>
      <x:c r="E43" s="3"/>
      <x:c r="F43" s="3"/>
      <x:c r="G43" s="3"/>
    </x:row>
    <x:row r="44" ht="55" customHeight="1">
      <x:c r="A44" s="3" t="str">
        <x:v>ToF 배치</x:v>
      </x:c>
      <x:c r="B44" s="3" t="str">
        <x:v>2개·4개는 동일 조건 예산 비교이며 확정 장착값이 아닙니다. 시야·가림·IR 동시 구동·속도를 시험해야 하며 수량만으로 고속 주행 안전을 판단하지 않습니다.</x:v>
      </x:c>
      <x:c r="C44" s="3"/>
      <x:c r="D44" s="3"/>
      <x:c r="E44" s="3"/>
      <x:c r="F44" s="3"/>
      <x:c r="G44" s="3"/>
    </x:row>
    <x:row r="45" ht="55" customHeight="1">
      <x:c r="A45" s="3" t="str">
        <x:v>하드웨어</x:v>
      </x:c>
      <x:c r="B45" s="3" t="str">
        <x:v>차체35/40만원은 확정 견적이 아닙니다. 모터·ESC·엔코더·공통 제어부의 실제 비용과 담당을 하드웨어팀과 확인합니다. 배선·장착비·예비비는 추가하지 않았습니다.</x:v>
      </x:c>
      <x:c r="C45" s="3"/>
      <x:c r="D45" s="3"/>
      <x:c r="E45" s="3"/>
      <x:c r="F45" s="3"/>
      <x:c r="G45" s="3"/>
    </x:row>
    <x:row r="46" ht="55" customHeight="1">
      <x:c r="A46" s="3" t="str">
        <x:v>사용법</x:v>
      </x:c>
      <x:c r="B46" s="3" t="str">
        <x:v>노란 단가·ToF 수량을 수정하면 합계와 가격순 표가 갱신됩니다. 가격순 표는 직접 수정하지 않습니다. 상품 교체 시 품명·조건·코멘트도 같이 수정합니다.</x:v>
      </x:c>
      <x:c r="C46" s="3"/>
      <x:c r="D46" s="3"/>
      <x:c r="E46" s="3"/>
      <x:c r="F46" s="3"/>
      <x:c r="G46" s="3"/>
    </x:row>
    <x:row r="47" ht="82" customHeight="1">
      <x:c r="A47" s="3"/>
      <x:c r="B47" s="3"/>
      <x:c r="C47" s="3"/>
      <x:c r="D47" s="3"/>
      <x:c r="E47" s="3"/>
      <x:c r="F47" s="3"/>
      <x:c r="G47" s="3"/>
    </x:row>
    <x:row r="48" ht="82" customHeight="1">
      <x:c r="A48" s="3"/>
      <x:c r="B48" s="3"/>
      <x:c r="C48" s="3"/>
      <x:c r="D48" s="3"/>
      <x:c r="E48" s="3"/>
      <x:c r="F48" s="3"/>
      <x:c r="G48" s="3"/>
    </x:row>
  </x:sheetData>
  <x:mergeCells>
    <x:mergeCell ref="A1:G1"/>
    <x:mergeCell ref="A2:G2"/>
    <x:mergeCell ref="B39:G39"/>
    <x:mergeCell ref="B40:G40"/>
    <x:mergeCell ref="B41:G41"/>
    <x:mergeCell ref="B42:G42"/>
    <x:mergeCell ref="B43:G43"/>
    <x:mergeCell ref="B44:G44"/>
    <x:mergeCell ref="B45:G45"/>
    <x:mergeCell ref="B46:G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4.380000114440918" hidden="0" customWidth="1"/>
    <x:col min="3" max="3" width="21.8799991607666" hidden="0" customWidth="1"/>
    <x:col min="4" max="4" width="53.75" hidden="0" customWidth="1"/>
    <x:col min="5" max="5" width="44.380001068115234" hidden="0" customWidth="1"/>
  </x:cols>
  <x:sheetData>
    <x:row r="1" ht="34" customHeight="1">
      <x:c r="A1" s="5" t="str">
        <x:v>센서 단가와 구매 출처</x:v>
      </x:c>
      <x:c r="B1" s="3"/>
      <x:c r="C1" s="3"/>
      <x:c r="D1" s="3"/>
      <x:c r="E1" s="3"/>
    </x:row>
    <x:row r="2" ht="34" customHeight="1">
      <x:c r="A2" s="7" t="str">
        <x:v>2026-09-05 실제 공개 상품 페이지 대조 · 최저가 보장 및 판매처 확정 아님</x:v>
      </x:c>
      <x:c r="B2" s="3"/>
      <x:c r="C2" s="3"/>
      <x:c r="D2" s="3"/>
      <x:c r="E2" s="3"/>
    </x:row>
    <x:row r="3" ht="34" customHeight="1">
      <x:c r="A3" s="3"/>
      <x:c r="B3" s="3"/>
      <x:c r="C3" s="3"/>
      <x:c r="D3" s="3"/>
      <x:c r="E3" s="3"/>
    </x:row>
    <x:row r="4" ht="38" customHeight="1">
      <x:c r="A4" s="9" t="str">
        <x:v>품목</x:v>
      </x:c>
      <x:c r="B4" s="9" t="str">
        <x:v>단가 (원)</x:v>
      </x:c>
      <x:c r="C4" s="9" t="str">
        <x:v>가격 구분</x:v>
      </x:c>
      <x:c r="D4" s="9" t="str">
        <x:v>구매 링크</x:v>
      </x:c>
      <x:c r="E4" s="9" t="str">
        <x:v>확인할 조건</x:v>
      </x:c>
    </x:row>
    <x:row r="5" ht="72" customHeight="1">
      <x:c r="A5" s="3" t="str">
        <x:v>VL53L7CX Pololu #3418</x:v>
      </x:c>
      <x:c r="B5" s="11" t="n">
        <x:v>35200</x:v>
      </x:c>
      <x:c r="C5" s="3" t="str">
        <x:v>VAT 포함</x:v>
      </x:c>
      <x:c r="D5" s="3" t="str">
        <x:v>https://www.devicemart.co.kr/goods/view?no=15145342</x:v>
      </x:c>
      <x:c r="E5" s="3" t="str">
        <x:v>센서 IC가 아닌 전압조정·레벨변환 포함 캐리어. 해외 준비기간 약 1주 표기.</x:v>
      </x:c>
    </x:row>
    <x:row r="6" ht="72" customHeight="1">
      <x:c r="A6" s="3" t="str">
        <x:v>RPLIDAR C1</x:v>
      </x:c>
      <x:c r="B6" s="11" t="n">
        <x:v>99000</x:v>
      </x:c>
      <x:c r="C6" s="3" t="str">
        <x:v>VAT 포함</x:v>
      </x:c>
      <x:c r="D6" s="3" t="str">
        <x:v>https://www.devicemart.co.kr/goods/view?no=15274068</x:v>
      </x:c>
      <x:c r="E6" s="3" t="str">
        <x:v>10 Hz 대표값. USB 변환기·케이블 동봉 여부는 주문 전 확인.</x:v>
      </x:c>
    </x:row>
    <x:row r="7" ht="72" customHeight="1">
      <x:c r="A7" s="3" t="str">
        <x:v>OAK-D Lite FF</x:v>
      </x:c>
      <x:c r="B7" s="11" t="n">
        <x:v>384901</x:v>
      </x:c>
      <x:c r="C7" s="3" t="str">
        <x:v>VAT 포함</x:v>
      </x:c>
      <x:c r="D7" s="3" t="str">
        <x:v>https://www.devicemart.co.kr/goods/view?no=15694056</x:v>
      </x:c>
      <x:c r="E7" s="3" t="str">
        <x:v>FF 기준. 검색 캐시 391,270원과 다름. AF도 실제 페이지 384,901원으로 저가 이점 없음.</x:v>
      </x:c>
    </x:row>
    <x:row r="8" ht="72" customHeight="1">
      <x:c r="A8" s="3" t="str">
        <x:v>Orbbec Gemini 335</x:v>
      </x:c>
      <x:c r="B8" s="11" t="n">
        <x:v>506000</x:v>
      </x:c>
      <x:c r="C8" s="3" t="str">
        <x:v>VAT 포함</x:v>
      </x:c>
      <x:c r="D8" s="3" t="str">
        <x:v>https://www.icbanq.com/P016230029</x:v>
      </x:c>
      <x:c r="E8" s="3" t="str">
        <x:v>460,000원 + VAT. 검색 캐시 440,000원을 최종 계산에서 제외.</x:v>
      </x:c>
    </x:row>
    <x:row r="9" ht="72" customHeight="1">
      <x:c r="A9" s="3" t="str">
        <x:v>RealSense D435i 신규</x:v>
      </x:c>
      <x:c r="B9" s="11" t="n">
        <x:v>563000</x:v>
      </x:c>
      <x:c r="C9" s="3" t="str">
        <x:v>판매 표시가</x:v>
      </x:c>
      <x:c r="D9" s="3" t="str">
        <x:v>https://reallystore.net/goods/view?no=363</x:v>
      </x:c>
      <x:c r="E9" s="3" t="str">
        <x:v>배송 3,000원 별도. VAT 포함 여부는 견적서로 재확인. 보유 장비의 규정 평가액은 미정.</x:v>
      </x:c>
    </x:row>
    <x:row r="10" ht="72" customHeight="1">
      <x:c r="A10" s="3" t="str">
        <x:v>RealSense D436 신규</x:v>
      </x:c>
      <x:c r="B10" s="11" t="n">
        <x:v>597000</x:v>
      </x:c>
      <x:c r="C10" s="3" t="str">
        <x:v>판매 표시가</x:v>
      </x:c>
      <x:c r="D10" s="3" t="str">
        <x:v>https://reallystore.net/goods/view?no=802</x:v>
      </x:c>
      <x:c r="E10" s="3" t="str">
        <x:v>배송 3,000원 별도. VAT 포함 여부 재확인. 할인 전 656,700원 표시.</x:v>
      </x:c>
    </x:row>
    <x:row r="11" ht="72" customHeight="1">
      <x:c r="A11" s="3" t="str">
        <x:v>RPLIDAR S3</x:v>
      </x:c>
      <x:c r="B11" s="11" t="n">
        <x:v>739200</x:v>
      </x:c>
      <x:c r="C11" s="3" t="str">
        <x:v>VAT 포함</x:v>
      </x:c>
      <x:c r="D11" s="3" t="str">
        <x:v>https://www.devicemart.co.kr/goods/view?no=15267468</x:v>
      </x:c>
      <x:c r="E11" s="3" t="str">
        <x:v>672,000원 + VAT. 10~20 Hz 지원, 대표 10 Hz. 20 Hz 설정·실제 전달률 및 USB 구성품 확인.</x:v>
      </x:c>
    </x:row>
    <x:row r="12" ht="72" customHeight="1">
      <x:c r="A12" s="3" t="str">
        <x:v>Arducam B0385 / OV9782</x:v>
      </x:c>
      <x:c r="B12" s="11" t="n">
        <x:v>96360</x:v>
      </x:c>
      <x:c r="C12" s="3" t="str">
        <x:v>VAT 포함 / 품절</x:v>
      </x:c>
      <x:c r="D12" s="3" t="str">
        <x:v>https://www.devicemart.co.kr/goods/view?no=14900621</x:v>
      </x:c>
      <x:c r="E12" s="3" t="str">
        <x:v>사용자가 직접120fps 동작 확인. 당시 해상도·코덱은 미확인. 문서100fps(MJPEG)/10fps(YUY2)와 별도 기록. 국내 품절 비교 단가.</x:v>
      </x:c>
    </x:row>
    <x:row r="13" ht="34" customHeight="1">
      <x:c r="A13" s="3"/>
      <x:c r="B13" s="3"/>
      <x:c r="C13" s="3"/>
      <x:c r="D13" s="3"/>
      <x:c r="E13" s="3"/>
    </x:row>
    <x:row r="14" ht="65" customHeight="1">
      <x:c r="A14" s="3" t="str">
        <x:v>산정 원칙</x:v>
      </x:c>
      <x:c r="B14" s="3" t="str">
        <x:v>실제 표시가</x:v>
      </x:c>
      <x:c r="C14" s="3" t="str">
        <x:v>센서 단품 합계 / 배송 별도</x:v>
      </x:c>
      <x:c r="D14" s="3" t="str">
        <x:v>실시간 가격을 검색 캐시보다 우선</x:v>
      </x:c>
      <x:c r="E14" s="3" t="str">
        <x:v>결제·재고 확보·업체 견적 요청은 수행하지 않음</x:v>
      </x:c>
    </x:row>
    <x:row r="15" ht="34" customHeight="1">
      <x:c r="A15" s="3"/>
      <x:c r="B15" s="3"/>
      <x:c r="C15" s="3"/>
      <x:c r="D15" s="3"/>
      <x:c r="E15" s="3"/>
    </x:row>
    <x:row r="16" ht="65" customHeight="1">
      <x:c r="A16" s="3" t="str">
        <x:v>공통 지원품은 별도</x:v>
      </x:c>
      <x:c r="B16" s="3"/>
      <x:c r="C16" s="3"/>
      <x:c r="D16" s="3" t="str">
        <x:v>https://github.com/MOSW626/istech-it-arena/blob/main/MANUAL.md</x:v>
      </x:c>
      <x:c r="E16" s="3" t="str">
        <x:v>Jetson·배터리·ST3215-HS 2개·PDB 2개를 중복 구매비에 넣지 않음.</x:v>
      </x:c>
    </x:row>
    <x:row r="17" ht="34" customHeight="1">
      <x:c r="A17" s="3"/>
      <x:c r="B17" s="3"/>
      <x:c r="C17" s="3"/>
      <x:c r="D17" s="3"/>
      <x:c r="E17" s="3"/>
    </x:row>
    <x:row r="18" ht="88" customHeight="1">
      <x:c r="A18" s="3" t="str">
        <x:v>Arducam B020101 / IMX291</x:v>
      </x:c>
      <x:c r="B18" s="10" t="n">
        <x:v>104500</x:v>
      </x:c>
      <x:c r="C18" s="3" t="str">
        <x:v>VAT 포함 / 대안</x:v>
      </x:c>
      <x:c r="D18" s="3" t="str">
        <x:v>https://www.devicemart.co.kr/goods/view?no=14900640</x:v>
      </x:c>
      <x:c r="E18" s="3" t="str">
        <x:v>1080p 30fps, UVC, 수동 초점·광각. 해외 준비 2주 표기. B0385와 동등한 고속 대체품 아님.</x:v>
      </x:c>
    </x:row>
    <x:row r="19" ht="88" customHeight="1">
      <x:c r="A19" s="3" t="str">
        <x:v>Arducam B0495 / AR0234</x:v>
      </x:c>
      <x:c r="B19" s="3"/>
      <x:c r="C19" s="3" t="str">
        <x:v>국내 원화 미견적</x:v>
      </x:c>
      <x:c r="D19" s="3" t="str">
        <x:v>https://blog.arducam.com/downloads/datasheet/B0495_AR0234_Global_Shutter_USB3.0_Camera_Module_Datasheet.pdf</x:v>
      </x:c>
      <x:c r="E19" s="3" t="str">
        <x:v>상위 후보만 유지. USB3 UVC·컬러 글로벌 셔터·1920×1200 50fps(YUY2). 기본 초점 2m~무한대 재조정 필요. 합계 미반영.</x:v>
      </x:c>
    </x:row>
    <x:row r="20" ht="88" customHeight="1">
      <x:c r="A20" s="3" t="str">
        <x:v>MCU 잠정 후보 ESP32-S3</x:v>
      </x:c>
      <x:c r="B20" s="3"/>
      <x:c r="C20" s="3" t="str">
        <x:v>모델·가격·분담 미정</x:v>
      </x:c>
      <x:c r="D20" s="3" t="str">
        <x:v>사용자 2026-09-05 후속 메시지</x:v>
      </x:c>
      <x:c r="E20" s="3" t="str">
        <x:v>정확한 개발보드 미선정. 센서 합계 제외는 무료/공식 예산 면제를 뜻하지 않음. 카메라는 Jetson USB 연결을 기준으로 검토.</x:v>
      </x:c>
    </x:row>
    <x:row r="21">
      <x:c r="A21" s="3"/>
      <x:c r="B21" s="3"/>
      <x:c r="C21" s="3"/>
      <x:c r="D21" s="3"/>
      <x:c r="E21" s="3"/>
    </x:row>
    <x:row r="22" ht="106" customHeight="1">
      <x:c r="A22" s="3" t="str">
        <x:v>Voltly OV2710 / VLT-CAM014</x:v>
      </x:c>
      <x:c r="B22" s="50" t="n">
        <x:v>63360</x:v>
      </x:c>
      <x:c r="C22" s="3" t="str">
        <x:v>VAT 포함 / 국내 판매</x:v>
      </x:c>
      <x:c r="D22" s="3" t="str">
        <x:v>https://www.devicemart.co.kr/goods/view?no=15961405</x:v>
      </x:c>
      <x:c r="E22" s="3" t="str">
        <x:v>57,600원+VAT. 구매 버튼·준비 3~4일 표시, 재고 수량 미확인. USB·MJPEG/YUY2·최대120fps 표기. 해상도별 fps 미기재로 720p60fps는 확인 필요.</x:v>
      </x:c>
    </x:row>
    <x:row r="23" ht="88" customHeight="1">
      <x:c r="A23"/>
      <x:c r="B23"/>
      <x:c r="C23"/>
      <x:c r="D23"/>
      <x:c r="E23"/>
    </x:row>
    <x:row r="24" ht="92" customHeight="1">
      <x:c r="A24" s="3" t="str">
        <x:v>Orbbec Gemini 2</x:v>
      </x:c>
      <x:c r="B24" s="58" t="n">
        <x:v>454300</x:v>
      </x:c>
      <x:c r="C24" s="3" t="str">
        <x:v>VAT 포함</x:v>
      </x:c>
      <x:c r="D24" s="3" t="str">
        <x:v>https://www.devicemart.co.kr/goods/view?no=15013145</x:v>
      </x:c>
      <x:c r="E24" s="3" t="str">
        <x:v>413,000원+VAT. 저가 능동 스테레오 비교안. 실내 우선. 실재고·납기는 주문 전 확인.</x:v>
      </x:c>
    </x:row>
    <x:row r="25" ht="92" customHeight="1">
      <x:c r="A25" s="3" t="str">
        <x:v>Orbbec Gemini 335L</x:v>
      </x:c>
      <x:c r="B25" s="58" t="n">
        <x:v>605000</x:v>
      </x:c>
      <x:c r="C25" s="3" t="str">
        <x:v>VAT 포함</x:v>
      </x:c>
      <x:c r="D25" s="3" t="str">
        <x:v>https://www.icbanq.com/P016230042</x:v>
      </x:c>
      <x:c r="E25" s="3" t="str">
        <x:v>550,000원+VAT. RGB 글로벌 셔터·95mm 기선. 335와 별도 모델. 실재고·납기는 주문 전 확인.</x:v>
      </x:c>
    </x:row>
    <x:row r="26" ht="92" customHeight="1">
      <x:c r="A26" s="3" t="str">
        <x:v>OAK-D S2 FF</x:v>
      </x:c>
      <x:c r="B26" s="58" t="n">
        <x:v>649000</x:v>
      </x:c>
      <x:c r="C26" s="3" t="str">
        <x:v>VAT 포함</x:v>
      </x:c>
      <x:c r="D26" s="3" t="str">
        <x:v>https://www.devicemart.co.kr/goods/view?no=15073622</x:v>
      </x:c>
      <x:c r="E26" s="3" t="str">
        <x:v>590,000원+VAT. 일반 S2에는 IR 프로젝터 없음. Lite 대비 800p 스테레오 비교용.</x:v>
      </x:c>
    </x:row>
    <x:row r="27" ht="92" customHeight="1">
      <x:c r="A27" s="3" t="str">
        <x:v>OAK-D Pro FF / IMX378</x:v>
      </x:c>
      <x:c r="B27" s="58" t="n">
        <x:v>852500</x:v>
      </x:c>
      <x:c r="C27" s="3" t="str">
        <x:v>VAT 포함</x:v>
      </x:c>
      <x:c r="D27" s="3" t="str">
        <x:v>https://www.devicemart.co.kr/goods/view?no=15073612</x:v>
      </x:c>
      <x:c r="E27" s="3" t="str">
        <x:v>775,000원+VAT. IR 점무늬·투광기 탑재. RGB는 롤링 셔터. OV9782 모델과 구분. IR 사용 시 전원 조건 확인.</x:v>
      </x:c>
    </x:row>
    <x:row r="28" ht="92" customHeight="1">
      <x:c r="A28" s="3" t="str">
        <x:v>RealSense D455</x:v>
      </x:c>
      <x:c r="B28" s="58" t="n">
        <x:v>710000</x:v>
      </x:c>
      <x:c r="C28" s="3" t="str">
        <x:v>표시가 / VAT 미확인</x:v>
      </x:c>
      <x:c r="D28" s="3" t="str">
        <x:v>https://reallystore.net/goods/view?no=364</x:v>
      </x:c>
      <x:c r="E28" s="3" t="str">
        <x:v>710,000원 표시. 세금 포함 여부·해외구매 조건 확인. 표시가만 합계에 반영하며 확정 도착가가 아님.</x:v>
      </x:c>
    </x:row>
    <x:row r="29" ht="92" customHeight="1">
      <x:c r="A29" s="3" t="str">
        <x:v>OAK-D Pro FF-97 / OV9782</x:v>
      </x:c>
      <x:c r="B29" s="58" t="n">
        <x:v>946000</x:v>
      </x:c>
      <x:c r="C29" s="3" t="str">
        <x:v>VAT 포함</x:v>
      </x:c>
      <x:c r="D29" s="3" t="str">
        <x:v>https://www.devicemart.co.kr/goods/view?no=15539204</x:v>
      </x:c>
      <x:c r="E29" s="3" t="str">
        <x:v>860,000원+VAT. IR 탑재·RGB 글로벌 셔터. IMX378 Pro보다 93,500원 높음. FF-97 상품명·센서 확인.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25" hidden="0" customWidth="1"/>
    <x:col min="3" max="3" width="10.630000114440918" hidden="0" customWidth="1"/>
    <x:col min="4" max="4" width="15" hidden="0" customWidth="1"/>
    <x:col min="5" max="5" width="11.25" hidden="0" customWidth="1"/>
    <x:col min="6" max="6" width="18.1299991607666" hidden="0" customWidth="1"/>
    <x:col min="7" max="7" width="57.5" hidden="0" customWidth="1"/>
  </x:cols>
  <x:sheetData>
    <x:row r="1" ht="34" customHeight="1">
      <x:c r="A1" s="5" t="str">
        <x:v>하드웨어팀 차체 견적 대조</x:v>
      </x:c>
      <x:c r="B1" s="3"/>
      <x:c r="C1" s="3"/>
      <x:c r="D1" s="3"/>
      <x:c r="E1" s="3"/>
      <x:c r="F1" s="3"/>
      <x:c r="G1" s="3"/>
    </x:row>
    <x:row r="2" ht="34" customHeight="1">
      <x:c r="A2" s="7" t="str">
        <x:v>원본 파일은 변경하지 않았습니다. 가격 재검색 없이 첨부 단가×수량을 재계산했습니다.</x:v>
      </x:c>
      <x:c r="B2" s="3"/>
      <x:c r="C2" s="3"/>
      <x:c r="D2" s="3"/>
      <x:c r="E2" s="3"/>
      <x:c r="F2" s="3"/>
      <x:c r="G2" s="3"/>
    </x:row>
    <x:row r="3" ht="34" customHeight="1">
      <x:c r="A3" s="3"/>
      <x:c r="B3" s="3"/>
      <x:c r="C3" s="3"/>
      <x:c r="D3" s="3"/>
      <x:c r="E3" s="3"/>
      <x:c r="F3" s="3"/>
      <x:c r="G3" s="3"/>
    </x:row>
    <x:row r="4" ht="38" customHeight="1">
      <x:c r="A4" s="9" t="str">
        <x:v>품목</x:v>
      </x:c>
      <x:c r="B4" s="9" t="str">
        <x:v>단가 (원)</x:v>
      </x:c>
      <x:c r="C4" s="9" t="str">
        <x:v>수량</x:v>
      </x:c>
      <x:c r="D4" s="9" t="str">
        <x:v>금액 (원)</x:v>
      </x:c>
      <x:c r="E4" s="9" t="str">
        <x:v>구분</x:v>
      </x:c>
      <x:c r="F4" s="9" t="str">
        <x:v>원본 행</x:v>
      </x:c>
      <x:c r="G4" s="9" t="str">
        <x:v>원본 구매 링크</x:v>
      </x:c>
    </x:row>
    <x:row r="5" ht="43" customHeight="1">
      <x:c r="A5" s="3" t="str">
        <x:v>캠버&amp;토링크 세트=위시본</x:v>
      </x:c>
      <x:c r="B5" s="10" t="n">
        <x:v>4500</x:v>
      </x:c>
      <x:c r="C5" s="12" t="n">
        <x:v>1</x:v>
      </x:c>
      <x:c r="D5" s="10" t="n">
        <x:f>B5*C5</x:f>
        <x:v>4500</x:v>
      </x:c>
      <x:c r="E5" s="3" t="str">
        <x:v>필수</x:v>
      </x:c>
      <x:c r="F5" s="3" t="str">
        <x:v>Sheet1 행 3</x:v>
      </x:c>
      <x:c r="G5" s="3" t="str">
        <x:v>https://m.rc9.co.kr/product/ax7636-latrax-camber-toe-link-set-teton/49801/category/1147/display/1/</x:v>
      </x:c>
    </x:row>
    <x:row r="6" ht="43" customHeight="1">
      <x:c r="A6" s="3" t="str">
        <x:v>프론트/리어 서스펜션 암</x:v>
      </x:c>
      <x:c r="B6" s="10" t="n">
        <x:v>7650</x:v>
      </x:c>
      <x:c r="C6" s="12" t="n">
        <x:v>2</x:v>
      </x:c>
      <x:c r="D6" s="10" t="n">
        <x:f>B6*C6</x:f>
        <x:v>15300</x:v>
      </x:c>
      <x:c r="E6" s="3" t="str">
        <x:v>필수</x:v>
      </x:c>
      <x:c r="F6" s="3" t="str">
        <x:v>Sheet1 행 4</x:v>
      </x:c>
      <x:c r="G6" s="3" t="str">
        <x:v>https://m.rc9.co.kr/product/ax7630-latrax-frontrear-suspension-arm-2-teton/49803/category/1147/display/1/</x:v>
      </x:c>
    </x:row>
    <x:row r="7" ht="43" customHeight="1">
      <x:c r="A7" s="3" t="str">
        <x:v>프론트/리어 서스펜션 핀 세트</x:v>
      </x:c>
      <x:c r="B7" s="10" t="n">
        <x:v>8550</x:v>
      </x:c>
      <x:c r="C7" s="12" t="n">
        <x:v>1</x:v>
      </x:c>
      <x:c r="D7" s="10" t="n">
        <x:f>B7*C7</x:f>
        <x:v>8550</x:v>
      </x:c>
      <x:c r="E7" s="3" t="str">
        <x:v>필수</x:v>
      </x:c>
      <x:c r="F7" s="3" t="str">
        <x:v>Sheet1 행 5</x:v>
      </x:c>
      <x:c r="G7" s="3" t="str">
        <x:v>https://m.rc9.co.kr/product/ax7533-latrax-front-rear-suspension-pin-set-rally-teton/49940/category/1147/display/1/</x:v>
      </x:c>
    </x:row>
    <x:row r="8" ht="43" customHeight="1">
      <x:c r="A8" s="3" t="str">
        <x:v>스티어링크</x:v>
      </x:c>
      <x:c r="B8" s="10" t="n">
        <x:v>12150</x:v>
      </x:c>
      <x:c r="C8" s="12" t="n">
        <x:v>1</x:v>
      </x:c>
      <x:c r="D8" s="10" t="n">
        <x:f>B8*C8</x:f>
        <x:v>12150</x:v>
      </x:c>
      <x:c r="E8" s="3" t="str">
        <x:v>필수</x:v>
      </x:c>
      <x:c r="F8" s="3" t="str">
        <x:v>Sheet1 행 6</x:v>
      </x:c>
      <x:c r="G8" s="3" t="str">
        <x:v>https://m.rc9.co.kr/product/ax7538x-latrax-steering-bellcrank-set-teton/49934/category/1147/display/1/</x:v>
      </x:c>
    </x:row>
    <x:row r="9" ht="43" customHeight="1">
      <x:c r="A9" s="3" t="str">
        <x:v>프론트/리어 드라이브 샤프트</x:v>
      </x:c>
      <x:c r="B9" s="10" t="n">
        <x:v>7650</x:v>
      </x:c>
      <x:c r="C9" s="12" t="n">
        <x:v>2</x:v>
      </x:c>
      <x:c r="D9" s="10" t="n">
        <x:f>B9*C9</x:f>
        <x:v>15300</x:v>
      </x:c>
      <x:c r="E9" s="3" t="str">
        <x:v>필수</x:v>
      </x:c>
      <x:c r="F9" s="3" t="str">
        <x:v>Sheet1 행 7</x:v>
      </x:c>
      <x:c r="G9" s="3" t="str">
        <x:v>https://m.rc9.co.kr/product/ax7650-latrax-frontrear-assembled-driveshaft-2teton/49796/category/1147/display/1/</x:v>
      </x:c>
    </x:row>
    <x:row r="10" ht="43" customHeight="1">
      <x:c r="A10" s="3" t="str">
        <x:v>캐스터&amp;스티어링 블록 세트</x:v>
      </x:c>
      <x:c r="B10" s="10" t="n">
        <x:v>7650</x:v>
      </x:c>
      <x:c r="C10" s="12" t="n">
        <x:v>1</x:v>
      </x:c>
      <x:c r="D10" s="10" t="n">
        <x:f>B10*C10</x:f>
        <x:v>7650</x:v>
      </x:c>
      <x:c r="E10" s="3" t="str">
        <x:v>필수</x:v>
      </x:c>
      <x:c r="F10" s="3" t="str">
        <x:v>Sheet1 행 8</x:v>
      </x:c>
      <x:c r="G10" s="3" t="str">
        <x:v>https://m.rc9.co.kr/product/ax7532-latrax-caster-steering-block-set-rally-teton/49941/category/1147/display/1/</x:v>
      </x:c>
    </x:row>
    <x:row r="11" ht="43" customHeight="1">
      <x:c r="A11" s="3" t="str">
        <x:v>볼스크류 세트</x:v>
      </x:c>
      <x:c r="B11" s="10" t="n">
        <x:v>9900</x:v>
      </x:c>
      <x:c r="C11" s="12" t="n">
        <x:v>2</x:v>
      </x:c>
      <x:c r="D11" s="10" t="n">
        <x:f>B11*C11</x:f>
        <x:v>19800</x:v>
      </x:c>
      <x:c r="E11" s="3" t="str">
        <x:v>필수</x:v>
      </x:c>
      <x:c r="F11" s="3" t="str">
        <x:v>Sheet1 행 9</x:v>
      </x:c>
      <x:c r="G11" s="3" t="str">
        <x:v>https://m.rc9.co.kr/product/ax7540x-pivot-balls-black-6-silver-2-black-long-2/49932/category/1147/display/1/</x:v>
      </x:c>
    </x:row>
    <x:row r="12" ht="43" customHeight="1">
      <x:c r="A12" s="3" t="str">
        <x:v>베어링 세트</x:v>
      </x:c>
      <x:c r="B12" s="10" t="n">
        <x:v>24300</x:v>
      </x:c>
      <x:c r="C12" s="12" t="n">
        <x:v>1</x:v>
      </x:c>
      <x:c r="D12" s="10" t="n">
        <x:f>B12*C12</x:f>
        <x:v>24300</x:v>
      </x:c>
      <x:c r="E12" s="3" t="str">
        <x:v>필수</x:v>
      </x:c>
      <x:c r="F12" s="3" t="str">
        <x:v>Sheet1 행 10</x:v>
      </x:c>
      <x:c r="G12" s="3" t="str">
        <x:v>https://m.rc9.co.kr/product/ax7541x-latrax-bearing-set-rally-teton/49931/category/1147/display/1/</x:v>
      </x:c>
    </x:row>
    <x:row r="13" ht="43" customHeight="1">
      <x:c r="A13" s="3" t="str">
        <x:v>스크류 세트</x:v>
      </x:c>
      <x:c r="B13" s="10" t="n">
        <x:v>6300</x:v>
      </x:c>
      <x:c r="C13" s="12" t="n">
        <x:v>1</x:v>
      </x:c>
      <x:c r="D13" s="10" t="n">
        <x:f>B13*C13</x:f>
        <x:v>6300</x:v>
      </x:c>
      <x:c r="E13" s="3" t="str">
        <x:v>필수</x:v>
      </x:c>
      <x:c r="F13" s="3" t="str">
        <x:v>Sheet1 행 11</x:v>
      </x:c>
      <x:c r="G13" s="3" t="str">
        <x:v>https://m.rc9.co.kr/product/ax7543x-latrax-teton-screw-set-teton/49929/category/1147/display/1/</x:v>
      </x:c>
    </x:row>
    <x:row r="14" ht="43" customHeight="1">
      <x:c r="A14" s="3" t="str">
        <x:v>리어 액슬 캐리어</x:v>
      </x:c>
      <x:c r="B14" s="10" t="n">
        <x:v>7650</x:v>
      </x:c>
      <x:c r="C14" s="12" t="n">
        <x:v>1</x:v>
      </x:c>
      <x:c r="D14" s="10" t="n">
        <x:f>B14*C14</x:f>
        <x:v>7650</x:v>
      </x:c>
      <x:c r="E14" s="3" t="str">
        <x:v>필수</x:v>
      </x:c>
      <x:c r="F14" s="3" t="str">
        <x:v>Sheet1 행 12</x:v>
      </x:c>
      <x:c r="G14" s="3" t="str">
        <x:v>https://m.rc9.co.kr/product/ax7552x-latrax-rear-axle-carriers-2-teton/49926/category/1147/display/1/</x:v>
      </x:c>
    </x:row>
    <x:row r="15" ht="43" customHeight="1">
      <x:c r="A15" s="3" t="str">
        <x:v>디퍼렌셜 기어 셋트</x:v>
      </x:c>
      <x:c r="B15" s="10" t="n">
        <x:v>13500</x:v>
      </x:c>
      <x:c r="C15" s="12" t="n">
        <x:v>1</x:v>
      </x:c>
      <x:c r="D15" s="10" t="n">
        <x:f>B15*C15</x:f>
        <x:v>13500</x:v>
      </x:c>
      <x:c r="E15" s="3" t="str">
        <x:v>필수</x:v>
      </x:c>
      <x:c r="F15" s="3" t="str">
        <x:v>Sheet1 행 13</x:v>
      </x:c>
      <x:c r="G15" s="3" t="str">
        <x:v>http://hobbymall.co.kr/product/product_detail.asp?product_number=168710</x:v>
      </x:c>
    </x:row>
    <x:row r="16" ht="43" customHeight="1">
      <x:c r="A16" s="3" t="str">
        <x:v>알루미늄 휠너트</x:v>
      </x:c>
      <x:c r="B16" s="10" t="n">
        <x:v>22500</x:v>
      </x:c>
      <x:c r="C16" s="12" t="n">
        <x:v>1</x:v>
      </x:c>
      <x:c r="D16" s="10" t="n">
        <x:f>B16*C16</x:f>
        <x:v>22500</x:v>
      </x:c>
      <x:c r="E16" s="3" t="str">
        <x:v>필수</x:v>
      </x:c>
      <x:c r="F16" s="3" t="str">
        <x:v>Sheet1 행 14</x:v>
      </x:c>
      <x:c r="G16" s="3" t="str">
        <x:v>https://rc9.co.kr/product/detail.html?product_no=49787&amp;cate_no=1147&amp;display_group=1</x:v>
      </x:c>
    </x:row>
    <x:row r="17" ht="43" customHeight="1">
      <x:c r="A17" s="3" t="str">
        <x:v>휠 허브 12mm hex</x:v>
      </x:c>
      <x:c r="B17" s="10" t="n">
        <x:v>4050</x:v>
      </x:c>
      <x:c r="C17" s="12" t="n">
        <x:v>1</x:v>
      </x:c>
      <x:c r="D17" s="10" t="n">
        <x:f>B17*C17</x:f>
        <x:v>4050</x:v>
      </x:c>
      <x:c r="E17" s="3" t="str">
        <x:v>필수</x:v>
      </x:c>
      <x:c r="F17" s="3" t="str">
        <x:v>Sheet1 행 15</x:v>
      </x:c>
      <x:c r="G17" s="3" t="str">
        <x:v>https://rc9.co.kr/product/detail.html?product_no=49784&amp;cate_no=1147&amp;display_group=1</x:v>
      </x:c>
    </x:row>
    <x:row r="18" ht="43" customHeight="1">
      <x:c r="A18" s="3" t="str">
        <x:v>휠 타이어 셋트</x:v>
      </x:c>
      <x:c r="B18" s="10" t="n">
        <x:v>29800</x:v>
      </x:c>
      <x:c r="C18" s="12" t="n">
        <x:v>2</x:v>
      </x:c>
      <x:c r="D18" s="10" t="n">
        <x:f>B18*C18</x:f>
        <x:v>59600</x:v>
      </x:c>
      <x:c r="E18" s="3" t="str">
        <x:v>필수</x:v>
      </x:c>
      <x:c r="F18" s="3" t="str">
        <x:v>Sheet1 행 16</x:v>
      </x:c>
      <x:c r="G18" s="3" t="str">
        <x:v>https://rc9.co.kr/product/detail.html?product_no=88689</x:v>
      </x:c>
    </x:row>
    <x:row r="19" ht="43" customHeight="1">
      <x:c r="A19" s="3" t="str">
        <x:v>쇽</x:v>
      </x:c>
      <x:c r="B19" s="10" t="n">
        <x:v>19200</x:v>
      </x:c>
      <x:c r="C19" s="12" t="n">
        <x:v>2</x:v>
      </x:c>
      <x:c r="D19" s="10" t="n">
        <x:f>B19*C19</x:f>
        <x:v>38400</x:v>
      </x:c>
      <x:c r="E19" s="3" t="str">
        <x:v>선택</x:v>
      </x:c>
      <x:c r="F19" s="3" t="str">
        <x:v>Sheet1 행 20</x:v>
      </x:c>
      <x:c r="G19" s="3" t="str">
        <x:v>https://rc9.co.kr/product/detail.html?product_no=84748&amp;cate_no=1147&amp;display_group=1</x:v>
      </x:c>
    </x:row>
    <x:row r="20" ht="43" customHeight="1">
      <x:c r="A20" s="3" t="str">
        <x:v>디퍼렌셜 하우징</x:v>
      </x:c>
      <x:c r="B20" s="10" t="n">
        <x:v>9000</x:v>
      </x:c>
      <x:c r="C20" s="12" t="n">
        <x:v>1</x:v>
      </x:c>
      <x:c r="D20" s="10" t="n">
        <x:f>B20*C20</x:f>
        <x:v>9000</x:v>
      </x:c>
      <x:c r="E20" s="3" t="str">
        <x:v>선택</x:v>
      </x:c>
      <x:c r="F20" s="3" t="str">
        <x:v>Sheet1 행 21</x:v>
      </x:c>
      <x:c r="G20" s="3" t="str">
        <x:v>https://rc9.co.kr/product/detail.html?product_no=49943&amp;cate_no=1147&amp;display_group=1</x:v>
      </x:c>
    </x:row>
    <x:row r="21" ht="34" customHeight="1">
      <x:c r="A21" s="3"/>
      <x:c r="B21" s="10"/>
      <x:c r="C21" s="10"/>
      <x:c r="D21" s="10"/>
      <x:c r="E21" s="3"/>
      <x:c r="F21" s="3"/>
      <x:c r="G21" s="3"/>
    </x:row>
    <x:row r="22" ht="34" customHeight="1">
      <x:c r="A22" s="3" t="str">
        <x:v>필수 부품 합계</x:v>
      </x:c>
      <x:c r="B22" s="10"/>
      <x:c r="C22" s="10"/>
      <x:c r="D22" s="10" t="n">
        <x:f>SUM(D5:D18)</x:f>
        <x:v>221150</x:v>
      </x:c>
      <x:c r="E22" s="3"/>
      <x:c r="F22" s="3"/>
      <x:c r="G22" s="3"/>
    </x:row>
    <x:row r="23" ht="34" customHeight="1">
      <x:c r="A23" s="3" t="str">
        <x:v>선택 부품 합계</x:v>
      </x:c>
      <x:c r="B23" s="10"/>
      <x:c r="C23" s="10"/>
      <x:c r="D23" s="10" t="n">
        <x:f>SUM(D19:D20)</x:f>
        <x:v>47400</x:v>
      </x:c>
      <x:c r="E23" s="3"/>
      <x:c r="F23" s="3"/>
      <x:c r="G23" s="3"/>
    </x:row>
    <x:row r="24" ht="34" customHeight="1">
      <x:c r="A24" s="3" t="str">
        <x:v>선택 포함 합계</x:v>
      </x:c>
      <x:c r="B24" s="10"/>
      <x:c r="C24" s="10"/>
      <x:c r="D24" s="10" t="n">
        <x:f>SUM(D22:D23)</x:f>
        <x:v>268550</x:v>
      </x:c>
      <x:c r="E24" s="3"/>
      <x:c r="F24" s="3"/>
      <x:c r="G24" s="3"/>
    </x:row>
    <x:row r="25" ht="34" customHeight="1">
      <x:c r="A25" s="3"/>
      <x:c r="B25" s="10"/>
      <x:c r="C25" s="10"/>
      <x:c r="D25" s="10"/>
      <x:c r="E25" s="3"/>
      <x:c r="F25" s="3"/>
      <x:c r="G25" s="3"/>
    </x:row>
    <x:row r="26" ht="62" customHeight="1">
      <x:c r="A26" s="3" t="str">
        <x:v>모터 가격 가정</x:v>
      </x:c>
      <x:c r="B26" s="11" t="n">
        <x:v>100000</x:v>
      </x:c>
      <x:c r="C26" s="10" t="str">
        <x:v>사용자 추정</x:v>
      </x:c>
      <x:c r="D26" s="10"/>
      <x:c r="E26" s="3" t="str">
        <x:v>미견적 항목</x:v>
      </x:c>
      <x:c r="F26" s="3"/>
      <x:c r="G26" s="3" t="str">
        <x:v>모터·ESC·엔코더·제어보드·본체 제작재료·통신·전원 부속·비상정지 구현비의 누락/지원 여부 확인</x:v>
      </x:c>
    </x:row>
    <x:row r="27" ht="62" customHeight="1">
      <x:c r="A27" s="3" t="str">
        <x:v>필수 + 모터 가정</x:v>
      </x:c>
      <x:c r="B27" s="10" t="n">
        <x:f>D22+B26</x:f>
        <x:v>321150</x:v>
      </x:c>
      <x:c r="C27" s="10"/>
      <x:c r="D27" s="10"/>
      <x:c r="E27" s="3" t="str">
        <x:v>비교용 하드웨어 가정</x:v>
      </x:c>
      <x:c r="F27" s="11" t="n">
        <x:v>350000</x:v>
      </x:c>
      <x:c r="G27" s="3" t="str">
        <x:v>낮은 비교값. 실제 확정 견적 아님.</x:v>
      </x:c>
    </x:row>
    <x:row r="28" ht="62" customHeight="1">
      <x:c r="A28" s="3" t="str">
        <x:v>선택 포함 + 모터 가정</x:v>
      </x:c>
      <x:c r="B28" s="10" t="n">
        <x:f>D24+B26</x:f>
        <x:v>368550</x:v>
      </x:c>
      <x:c r="C28" s="10"/>
      <x:c r="D28" s="10"/>
      <x:c r="E28" s="3" t="str">
        <x:v>비교용 하드웨어 가정</x:v>
      </x:c>
      <x:c r="F28" s="11" t="n">
        <x:v>400000</x:v>
      </x:c>
      <x:c r="G28" s="3" t="str">
        <x:v>높은 비교값. 비용 상한/완성차 보장 아님.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35" hidden="0" customWidth="1"/>
    <x:col min="3" max="3" width="58.75" hidden="0" customWidth="1"/>
    <x:col min="4" max="4" width="46.880001068115234" hidden="0" customWidth="1"/>
  </x:cols>
  <x:sheetData>
    <x:row r="1" ht="34" customHeight="1">
      <x:c r="A1" s="5" t="str">
        <x:v>예산 조건별 협의안</x:v>
      </x:c>
      <x:c r="B1" s="3"/>
      <x:c r="C1" s="3"/>
      <x:c r="D1" s="3"/>
    </x:row>
    <x:row r="2" ht="34" customHeight="1">
      <x:c r="A2" s="7" t="str">
        <x:v>2026-09-05 사용자 메시지·첨부 Discord 캡처와 현재 공식 문서를 구분했습니다.</x:v>
      </x:c>
      <x:c r="B2" s="3"/>
      <x:c r="C2" s="3"/>
      <x:c r="D2" s="3"/>
    </x:row>
    <x:row r="3" ht="34" customHeight="1">
      <x:c r="A3" s="3"/>
      <x:c r="B3" s="3"/>
      <x:c r="C3" s="3"/>
      <x:c r="D3" s="3"/>
    </x:row>
    <x:row r="4" ht="38" customHeight="1">
      <x:c r="A4" s="9" t="str">
        <x:v>조건</x:v>
      </x:c>
      <x:c r="B4" s="9" t="str">
        <x:v>대응 후보</x:v>
      </x:c>
      <x:c r="C4" s="9" t="str">
        <x:v>판단</x:v>
      </x:c>
      <x:c r="D4" s="9" t="str">
        <x:v>협의할 사항</x:v>
      </x:c>
    </x:row>
    <x:row r="5" ht="96" customHeight="1">
      <x:c r="A5" s="3" t="str">
        <x:v>총 30만 / 보유 불가</x:v>
      </x:c>
      <x:c r="B5" s="3" t="str">
        <x:v>완성차 견적 성립 보류</x:v>
      </x:c>
      <x:c r="C5" s="3" t="str">
        <x:v>필수 차체 221,150원 + 모터 10만 가정 = 321,150원. 센서 이전에 초과. 현재 설계 기준 증액 또는 부품 재설계 필요.</x:v>
      </x:c>
      <x:c r="D5" s="3" t="str">
        <x:v>제작 방식 전체가 불가능하다는 주장 대신 현 부품안의 부족액을 제시.</x:v>
      </x:c>
    </x:row>
    <x:row r="6" ht="96" customHeight="1">
      <x:c r="A6" s="3" t="str">
        <x:v>지원 30만 / 보유 허용</x:v>
      </x:c>
      <x:c r="B6" s="3" t="str">
        <x:v>B-2 / B-4: 보유 D435i</x:v>
      </x:c>
      <x:c r="C6" s="3" t="str">
        <x:v>ToF2/4 센서70,400/140,800원. 차체와 구동부 비용을 더해야 합니다.</x:v>
      </x:c>
      <x:c r="D6" s="3" t="str">
        <x:v>보유 구동부 사용 여부 및 보유품 평가 기준 확인.</x:v>
      </x:c>
    </x:row>
    <x:row r="7" ht="96" customHeight="1">
      <x:c r="A7" s="3" t="str">
        <x:v>총 60만 / 보유 허용</x:v>
      </x:c>
      <x:c r="B7" s="3" t="str">
        <x:v>B-2 / B-4: 보유 D435i</x:v>
      </x:c>
      <x:c r="C7" s="3" t="str">
        <x:v>차체35~40만 포함 ToF2는420,400~470,400원, ToF4는490,800~540,800원.</x:v>
      </x:c>
      <x:c r="D7" s="3" t="str">
        <x:v>보유 D435i 사용 허용과 금액 산정 제외를 구분.</x:v>
      </x:c>
    </x:row>
    <x:row r="8" ht="96" customHeight="1">
      <x:c r="A8" s="3" t="str">
        <x:v>총 60만 / 보유 불가</x:v>
      </x:c>
      <x:c r="B8" s="3" t="str">
        <x:v>L1v-2 / L1v-4: C1+OV2710</x:v>
      </x:c>
      <x:c r="C8" s="3" t="str">
        <x:v>센서232,760/303,160원. 차체 포함582,760~632,760원 /653,160~703,160원.</x:v>
      </x:c>
      <x:c r="D8" s="3" t="str">
        <x:v>OV2710 720p60fps 미확인. 4개안은 차체35~40만 가정에서 총60만 초과.</x:v>
      </x:c>
    </x:row>
    <x:row r="9" ht="110" customHeight="1">
      <x:c r="A9" s="3" t="str">
        <x:v>총 90만 / 보유 불가</x:v>
      </x:c>
      <x:c r="B9" s="3" t="str">
        <x:v>SG2-2: Gemini2 또는 S2-2: OAK Lite</x:v>
      </x:c>
      <x:c r="C9" s="3" t="str">
        <x:v>Gemini2+ToF2 센서524,700원, 차체 포함874,700~924,700원. Lite+ToF2는805,301~855,301원.</x:v>
      </x:c>
      <x:c r="D9" s="3" t="str">
        <x:v>Gemini2는 IR 탑재. Lite는 IR 없음·노면 시험 조건. Gemini335+ToF2는926,400~976,400원으로 비교 범위 확대 필요.</x:v>
      </x:c>
    </x:row>
    <x:row r="10" ht="110" customHeight="1">
      <x:c r="A10" s="3" t="str">
        <x:v>지원 30만 + 자체 최대100만</x:v>
      </x:c>
      <x:c r="B10" s="3" t="str">
        <x:v>SG335L-2/4 또는 S5-2/4; LiDAR S3</x:v>
      </x:c>
      <x:c r="C10" s="3" t="str">
        <x:v>Gemini335L+ToF2/4는 차체 포함1,025,400~1,075,400원 /1,095,800~1,145,800원. D436+ToF4는1,087,800~1,137,800원.</x:v>
      </x:c>
      <x:c r="D10" s="3" t="str">
        <x:v>335L과D436이 상위 우선 후보. D436 VAT 확인. S3+OV2710+ToF4는1,293,360~1,343,360원이며 RGB60fps 미확인.</x:v>
      </x:c>
    </x:row>
    <x:row r="11" ht="34" customHeight="1">
      <x:c r="A11" s="3"/>
      <x:c r="B11" s="3"/>
      <x:c r="C11" s="3"/>
      <x:c r="D11" s="3"/>
    </x:row>
    <x:row r="12" ht="94" customHeight="1">
      <x:c r="A12" s="3" t="str">
        <x:v>지원 30만원</x:v>
      </x:c>
      <x:c r="B12" s="3" t="str">
        <x:v>이번 계산의 전제</x:v>
      </x:c>
      <x:c r="C12" s="3" t="str">
        <x:v>공식 매뉴얼은 25~30만원, 첨부 9/5 메시지는 30만원 주문목록 요청. 새 전체 상한이 확정됐다는 근거는 아님.</x:v>
      </x:c>
      <x:c r="D12" s="3" t="str">
        <x:v>https://github.com/MOSW626/istech-it-arena/blob/main/MANUAL.md</x:v>
      </x:c>
    </x:row>
    <x:row r="13" ht="94" customHeight="1">
      <x:c r="A13" s="3" t="str">
        <x:v>추가 예산 상태</x:v>
      </x:c>
      <x:c r="B13" s="3" t="str">
        <x:v>공식 댓글 재조회</x:v>
      </x:c>
      <x:c r="C13" s="3" t="str">
        <x:v>9/2 운영진 댓글 외 새로운 합의 댓글을 확인하지 못함. 보유·대여·협찬 평가, 자체 예산 및 상한 범위는 협의 대상.</x:v>
      </x:c>
      <x:c r="D13" s="3" t="str">
        <x:v>https://github.com/MOSW626/istech-it-arena/issues/14#issuecomment-5506542288</x:v>
      </x:c>
    </x:row>
    <x:row r="14" ht="94" customHeight="1">
      <x:c r="A14" s="3" t="str">
        <x:v>공정성 선택지</x:v>
      </x:c>
      <x:c r="B14" s="3" t="str">
        <x:v>보유 금지 / 기준가 산정</x:v>
      </x:c>
      <x:c r="C14" s="3" t="str">
        <x:v>보유품 금지만이 편법 방지의 유일한 수단은 아님. 구매 시점과 무관하게 탑재품의 동일 기준가를 산정하는 안도 비교 가능.</x:v>
      </x:c>
      <x:c r="D14" s="3" t="str">
        <x:v>새 제안이며 공식 확정 규정 아님. 실지출·기준가·규정 산정가를 구분.</x:v>
      </x:c>
    </x:row>
    <x:row r="15" ht="94" customHeight="1">
      <x:c r="A15" s="3" t="str">
        <x:v>20 Hz와 30 FPS</x:v>
      </x:c>
      <x:c r="B15" s="3" t="str">
        <x:v>시간 간격에 따른 이동만 비교</x:v>
      </x:c>
      <x:c r="C15" s="3" t="str">
        <x:v>20 km/h에서 10 Hz 약55.6cm, 20 Hz 약27.8cm, 30 FPS 약18.5cm, 60 FPS 약9.3cm. 센서/처리 지연·제동거리·결측은 별도.</x:v>
      </x:c>
      <x:c r="D15" s="3" t="str">
        <x:v>S3 기본10Hz를20Hz로 설정·검증해야 함. 카메라는 선택 깊이 프로필의 실제 출력으로 비교.</x:v>
      </x:c>
    </x:row>
    <x:row r="16" ht="94" customHeight="1">
      <x:c r="A16" s="3" t="str">
        <x:v>스테레오의 교환조건</x:v>
      </x:c>
      <x:c r="B16" s="3" t="str">
        <x:v>OAK / Gemini / D436</x:v>
      </x:c>
      <x:c r="C16" s="3" t="str">
        <x:v>OAK는 수동 스테레오의 무늬 부족·조명 영향과 DepthAI 통합, Gemini는 Orbbec 통합, D436은 실제 RGB-D 정렬·Jetson 지연 검증 필요.</x:v>
      </x:c>
      <x:c r="D16" s="3" t="str">
        <x:v>https://docs.luxonis.com/hardware/platform/features/depth</x:v>
      </x:c>
    </x:row>
    <x:row r="17" ht="94" customHeight="1">
      <x:c r="A17" s="3" t="str">
        <x:v>LiDAR의 교환조건</x:v>
      </x:c>
      <x:c r="B17" s="3" t="str">
        <x:v>C1 / S3</x:v>
      </x:c>
      <x:c r="C17" s="3" t="str">
        <x:v>C1은 가격이 낮지만 대표10Hz. S3는20Hz·점밀도 개선 여지가 있으나 단일 높이와 순차취득 왜곡은 남음. RGB와 하단 ToF를 계속 산정.</x:v>
      </x:c>
      <x:c r="D17" s="3" t="str">
        <x:v>https://www.slamtec.com/en/s3/spec</x:v>
      </x:c>
    </x:row>
    <x:row r="18" ht="34" customHeight="1">
      <x:c r="A18" s="3"/>
      <x:c r="B18" s="3"/>
      <x:c r="C18" s="3"/>
      <x:c r="D18" s="3"/>
    </x:row>
    <x:row r="19" ht="84" customHeight="1">
      <x:c r="A19" s="3" t="str">
        <x:v>가성비 후보</x:v>
      </x:c>
      <x:c r="B19" s="3" t="str">
        <x:v>보유 D435i / 신규 Gemini335</x:v>
      </x:c>
      <x:c r="C19" s="3" t="str">
        <x:v>보유품 허용 시 D435i, 신규 가성비는 IR 탑재 Gemini335를 우선 비교합니다. Lite는 표면 시험을 전제로 한 저가안입니다.</x:v>
      </x:c>
      <x:c r="D19" s="3" t="str">
        <x:v>가격·사용 조건 확인 후 회의 후보로 선별합니다. 팀 구매 결정은 아닙니다.</x:v>
      </x:c>
    </x:row>
    <x:row r="20" ht="84" customHeight="1">
      <x:c r="A20" s="3" t="str">
        <x:v>상위 후보</x:v>
      </x:c>
      <x:c r="B20" s="3" t="str">
        <x:v>상위: Gemini335L / D436</x:v>
      </x:c>
      <x:c r="C20" s="3" t="str">
        <x:v>RGB 글로벌 셔터와 IR을 갖춘 두 후보의 최종 세금·근접 깊이·ROS 통합 부담을 비교합니다. 고속 실효 성능은 아직 검증하지 않았습니다.</x:v>
      </x:c>
      <x:c r="D20" s="3" t="str">
        <x:v>기존 모델과 팀 설계 결정은 변경하지 않음.</x:v>
      </x:c>
    </x:row>
    <x:row r="21" ht="84" customHeight="1">
      <x:c r="A21" s="3" t="str">
        <x:v>비교 범위</x:v>
      </x:c>
      <x:c r="B21" s="3" t="str">
        <x:v>17개 조합 × ToF2/4, 총34개 안</x:v>
      </x:c>
      <x:c r="C21" s="3" t="str">
        <x:v>구성 비교에서 같은 조합을 묶고 가격순 비교에서 센서 합계 오름차순으로 봅니다. 두 개 추가 비용은70,400원입니다.</x:v>
      </x:c>
      <x:c r="D21" s="3" t="str">
        <x:v>ESP32-S3 잠정·배선 등 합계 제외. 구매 및 외부 게시를 하지 않은 검토안.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30000114440918" hidden="0" customWidth="1"/>
    <x:col min="2" max="2" width="35.630001068115234" hidden="0" customWidth="1"/>
    <x:col min="3" max="3" width="9" hidden="0" customWidth="1"/>
    <x:col min="4" max="4" width="14.75" hidden="0" customWidth="1"/>
    <x:col min="5" max="5" width="16" hidden="0" customWidth="1"/>
    <x:col min="6" max="6" width="16" hidden="0" customWidth="1"/>
    <x:col min="7" max="7" width="52.5" hidden="0" customWidth="1"/>
  </x:cols>
  <x:sheetData>
    <x:row r="1" ht="43" customHeight="1">
      <x:c r="A1" s="35" t="str">
        <x:v>센서 합계가 낮은 순서</x:v>
      </x:c>
      <x:c r="B1" s="3"/>
      <x:c r="C1" s="3"/>
      <x:c r="D1" s="3"/>
      <x:c r="E1" s="3"/>
      <x:c r="F1" s="3"/>
      <x:c r="G1" s="3"/>
    </x:row>
    <x:row r="2" ht="37" customHeight="1">
      <x:c r="A2" s="36" t="str">
        <x:v>구성 비교의 34개 안을 자동 정렬합니다. 표시가 기준이며 RealSense 세금 미확정·품절 조건은 코멘트를 함께 확인합니다.</x:v>
      </x:c>
      <x:c r="B2" s="3"/>
      <x:c r="C2" s="3"/>
      <x:c r="D2" s="3"/>
      <x:c r="E2" s="3"/>
      <x:c r="F2" s="3"/>
      <x:c r="G2" s="3"/>
    </x:row>
    <x:row r="3" ht="16" customHeight="1">
      <x:c r="A3" s="3"/>
      <x:c r="B3" s="3"/>
      <x:c r="C3" s="3"/>
      <x:c r="D3" s="3"/>
      <x:c r="E3" s="3"/>
      <x:c r="F3" s="3"/>
      <x:c r="G3" s="3"/>
    </x:row>
    <x:row r="4" ht="40" customHeight="1">
      <x:c r="A4" s="60" t="str">
        <x:v>안</x:v>
      </x:c>
      <x:c r="B4" s="60" t="str">
        <x:v>센서 구성</x:v>
      </x:c>
      <x:c r="C4" s="60" t="str">
        <x:v>ToF 수량</x:v>
      </x:c>
      <x:c r="D4" s="60" t="str">
        <x:v>센서 합계</x:v>
      </x:c>
      <x:c r="E4" s="60" t="str">
        <x:v>차체 35만 합산</x:v>
      </x:c>
      <x:c r="F4" s="60" t="str">
        <x:v>차체 40만 합산</x:v>
      </x:c>
      <x:c r="G4" s="60" t="str">
        <x:v>코멘트</x:v>
      </x:c>
    </x:row>
    <x:row r="5" ht="82" customHeight="1">
      <x:c r="A5" s="61" t="str" cm="1">
        <x:f t="array" ref="A5:G38">_xlfn._xlws.SORT('구성 비교'!A5:G38,4,1)</x:f>
        <x:v>B-2</x:v>
      </x:c>
      <x:c r="B5" s="61" t="str">
        <x:v>보유 D435i + ToF 2</x:v>
      </x:c>
      <x:c r="C5" s="61" t="n">
        <x:v>2</x:v>
      </x:c>
      <x:c r="D5" s="65" t="n">
        <x:v>70400</x:v>
      </x:c>
      <x:c r="E5" s="62" t="n">
        <x:v>420400</x:v>
      </x:c>
      <x:c r="F5" s="62" t="n">
        <x:v>470400</x:v>
      </x:c>
      <x:c r="G5" s="61" t="str">
        <x:v>재사용 허용 시 지출 최소. IR 탑재. 보유품의 규정 평가액은 별도이며 RGB는 롤링 셔터입니다. ToF2: 좌우 우선 배치 시 ToF의 후방 보완은 생략.</x:v>
      </x:c>
    </x:row>
    <x:row r="6" ht="82" customHeight="1">
      <x:c r="A6" s="63" t="str">
        <x:v>B-4</x:v>
      </x:c>
      <x:c r="B6" s="63" t="str">
        <x:v>보유 D435i + ToF 4</x:v>
      </x:c>
      <x:c r="C6" s="63" t="n">
        <x:v>4</x:v>
      </x:c>
      <x:c r="D6" s="65" t="n">
        <x:v>140800</x:v>
      </x:c>
      <x:c r="E6" s="64" t="n">
        <x:v>490800</x:v>
      </x:c>
      <x:c r="F6" s="64" t="n">
        <x:v>540800</x:v>
      </x:c>
      <x:c r="G6" s="63" t="str">
        <x:v>재사용 허용 시 지출 최소. IR 탑재. 보유품의 규정 평가액은 별도이며 RGB는 롤링 셔터입니다. ToF4: 관측 범위를 넓히는 안이며 전방위 무사각은 아님.</x:v>
      </x:c>
    </x:row>
    <x:row r="7" ht="82" customHeight="1">
      <x:c r="A7" s="61" t="str">
        <x:v>L2-2</x:v>
      </x:c>
      <x:c r="B7" s="61" t="str">
        <x:v>C1 + 보유 D435i + ToF 2</x:v>
      </x:c>
      <x:c r="C7" s="61" t="n">
        <x:v>2</x:v>
      </x:c>
      <x:c r="D7" s="65" t="n">
        <x:v>169400</x:v>
      </x:c>
      <x:c r="E7" s="62" t="n">
        <x:v>519400</x:v>
      </x:c>
      <x:c r="F7" s="62" t="n">
        <x:v>569400</x:v>
      </x:c>
      <x:c r="G7" s="61" t="str">
        <x:v>보유 허용 시 LiDAR·깊이 관측 병행안. 개발·동기화 부담이 늘며 센서 추가만으로 성능 향상을 보장하지 않습니다. ToF2: 좌우 우선 배치 시 ToF의 후방 보완은 생략.</x:v>
      </x:c>
    </x:row>
    <x:row r="8" ht="82" customHeight="1">
      <x:c r="A8" s="63" t="str">
        <x:v>L1v-2</x:v>
      </x:c>
      <x:c r="B8" s="63" t="str">
        <x:v>C1 + OV2710† + ToF 2</x:v>
      </x:c>
      <x:c r="C8" s="63" t="n">
        <x:v>2</x:v>
      </x:c>
      <x:c r="D8" s="65" t="n">
        <x:v>232760</x:v>
      </x:c>
      <x:c r="E8" s="64" t="n">
        <x:v>582760</x:v>
      </x:c>
      <x:c r="F8" s="64" t="n">
        <x:v>632760</x:v>
      </x:c>
      <x:c r="G8" s="63" t="str">
        <x:v>신규 저가 LiDAR안. C1 대표 10Hz의 재관측 공백과 OV2710의 60fps 출력 조건을 확인해야 합니다. ToF2: 좌우 우선 배치 시 ToF의 후방 보완은 생략.</x:v>
      </x:c>
    </x:row>
    <x:row r="9" ht="82" customHeight="1">
      <x:c r="A9" s="61" t="str">
        <x:v>L2-4</x:v>
      </x:c>
      <x:c r="B9" s="61" t="str">
        <x:v>C1 + 보유 D435i + ToF 4</x:v>
      </x:c>
      <x:c r="C9" s="61" t="n">
        <x:v>4</x:v>
      </x:c>
      <x:c r="D9" s="65" t="n">
        <x:v>239800</x:v>
      </x:c>
      <x:c r="E9" s="62" t="n">
        <x:v>589800</x:v>
      </x:c>
      <x:c r="F9" s="62" t="n">
        <x:v>639800</x:v>
      </x:c>
      <x:c r="G9" s="61" t="str">
        <x:v>보유 허용 시 LiDAR·깊이 관측 병행안. 개발·동기화 부담이 늘며 센서 추가만으로 성능 향상을 보장하지 않습니다. ToF4: 관측 범위를 넓히는 안이며 전방위 무사각은 아님.</x:v>
      </x:c>
    </x:row>
    <x:row r="10" ht="82" customHeight="1">
      <x:c r="A10" s="63" t="str">
        <x:v>L1-2</x:v>
      </x:c>
      <x:c r="B10" s="63" t="str">
        <x:v>C1 + B0385* + ToF 2</x:v>
      </x:c>
      <x:c r="C10" s="63" t="n">
        <x:v>2</x:v>
      </x:c>
      <x:c r="D10" s="65" t="n">
        <x:v>265760</x:v>
      </x:c>
      <x:c r="E10" s="64" t="n">
        <x:v>615760</x:v>
      </x:c>
      <x:c r="F10" s="64" t="n">
        <x:v>665760</x:v>
      </x:c>
      <x:c r="G10" s="63" t="str">
        <x:v>RGB 글로벌 셔터의 저가 LiDAR안. B0385는 국내 품절 비교가이며 C1의 갱신 주기 한계는 남습니다. ToF2: 좌우 우선 배치 시 ToF의 후방 보완은 생략.</x:v>
      </x:c>
    </x:row>
    <x:row r="11" ht="82" customHeight="1">
      <x:c r="A11" s="61" t="str">
        <x:v>L1v-4</x:v>
      </x:c>
      <x:c r="B11" s="61" t="str">
        <x:v>C1 + OV2710† + ToF 4</x:v>
      </x:c>
      <x:c r="C11" s="61" t="n">
        <x:v>4</x:v>
      </x:c>
      <x:c r="D11" s="65" t="n">
        <x:v>303160</x:v>
      </x:c>
      <x:c r="E11" s="62" t="n">
        <x:v>653160</x:v>
      </x:c>
      <x:c r="F11" s="62" t="n">
        <x:v>703160</x:v>
      </x:c>
      <x:c r="G11" s="61" t="str">
        <x:v>신규 저가 LiDAR안. C1 대표 10Hz의 재관측 공백과 OV2710의 60fps 출력 조건을 확인해야 합니다. ToF4: 관측 범위를 넓히는 안이며 전방위 무사각은 아님.</x:v>
      </x:c>
    </x:row>
    <x:row r="12" ht="82" customHeight="1">
      <x:c r="A12" s="63" t="str">
        <x:v>L1-4</x:v>
      </x:c>
      <x:c r="B12" s="63" t="str">
        <x:v>C1 + B0385* + ToF 4</x:v>
      </x:c>
      <x:c r="C12" s="63" t="n">
        <x:v>4</x:v>
      </x:c>
      <x:c r="D12" s="65" t="n">
        <x:v>336160</x:v>
      </x:c>
      <x:c r="E12" s="64" t="n">
        <x:v>686160</x:v>
      </x:c>
      <x:c r="F12" s="64" t="n">
        <x:v>736160</x:v>
      </x:c>
      <x:c r="G12" s="63" t="str">
        <x:v>RGB 글로벌 셔터의 저가 LiDAR안. B0385는 국내 품절 비교가이며 C1의 갱신 주기 한계는 남습니다. ToF4: 관측 범위를 넓히는 안이며 전방위 무사각은 아님.</x:v>
      </x:c>
    </x:row>
    <x:row r="13" ht="82" customHeight="1">
      <x:c r="A13" s="61" t="str">
        <x:v>S2-2</x:v>
      </x:c>
      <x:c r="B13" s="61" t="str">
        <x:v>OAK-D Lite FF + ToF 2</x:v>
      </x:c>
      <x:c r="C13" s="61" t="n">
        <x:v>2</x:v>
      </x:c>
      <x:c r="D13" s="65" t="n">
        <x:v>455301</x:v>
      </x:c>
      <x:c r="E13" s="62" t="n">
        <x:v>805301</x:v>
      </x:c>
      <x:c r="F13" s="62" t="n">
        <x:v>855301</x:v>
      </x:c>
      <x:c r="G13" s="61" t="str">
        <x:v>저가 조건부 안. IR 프로젝터 없음, 깊이용 입력 480p, RGB 최대35fps. 무늬 적은 노면의 깊이 시험이 선행되어야 합니다. ToF2: 좌우 우선 배치 시 ToF의 후방 보완은 생략.</x:v>
      </x:c>
    </x:row>
    <x:row r="14" ht="82" customHeight="1">
      <x:c r="A14" s="63" t="str">
        <x:v>SG2-2</x:v>
      </x:c>
      <x:c r="B14" s="63" t="str">
        <x:v>Gemini 2 + ToF 2</x:v>
      </x:c>
      <x:c r="C14" s="63" t="n">
        <x:v>2</x:v>
      </x:c>
      <x:c r="D14" s="65" t="n">
        <x:v>524700</x:v>
      </x:c>
      <x:c r="E14" s="64" t="n">
        <x:v>874700</x:v>
      </x:c>
      <x:c r="F14" s="64" t="n">
        <x:v>924700</x:v>
      </x:c>
      <x:c r="G14" s="63" t="str">
        <x:v>저가 IR 탑재안. 실내 우선 모델입니다. Gemini335보다 51,700원 저렴하므로 절감액과 처리 프로필을 함께 비교합니다. ToF2: 좌우 우선 배치 시 ToF의 후방 보완은 생략.</x:v>
      </x:c>
    </x:row>
    <x:row r="15" ht="82" customHeight="1">
      <x:c r="A15" s="61" t="str">
        <x:v>S2-4</x:v>
      </x:c>
      <x:c r="B15" s="61" t="str">
        <x:v>OAK-D Lite FF + ToF 4</x:v>
      </x:c>
      <x:c r="C15" s="61" t="n">
        <x:v>4</x:v>
      </x:c>
      <x:c r="D15" s="65" t="n">
        <x:v>525701</x:v>
      </x:c>
      <x:c r="E15" s="62" t="n">
        <x:v>875701</x:v>
      </x:c>
      <x:c r="F15" s="62" t="n">
        <x:v>925701</x:v>
      </x:c>
      <x:c r="G15" s="61" t="str">
        <x:v>저가 조건부 안. IR 프로젝터 없음, 깊이용 입력 480p, RGB 최대35fps. 무늬 적은 노면의 깊이 시험이 선행되어야 합니다. ToF4: 관측 범위를 넓히는 안이며 전방위 무사각은 아님.</x:v>
      </x:c>
    </x:row>
    <x:row r="16" ht="82" customHeight="1">
      <x:c r="A16" s="63" t="str">
        <x:v>S3-2</x:v>
      </x:c>
      <x:c r="B16" s="63" t="str">
        <x:v>Gemini 335 + ToF 2</x:v>
      </x:c>
      <x:c r="C16" s="63" t="n">
        <x:v>2</x:v>
      </x:c>
      <x:c r="D16" s="65" t="n">
        <x:v>576400</x:v>
      </x:c>
      <x:c r="E16" s="64" t="n">
        <x:v>926400</x:v>
      </x:c>
      <x:c r="F16" s="64" t="n">
        <x:v>976400</x:v>
      </x:c>
      <x:c r="G16" s="63" t="str">
        <x:v>신규 가성비 우선 후보. IR·능동/수동 깊이와 848×480@60fps 프로필이 장점입니다. RGB는 롤링 셔터입니다. ToF2: 좌우 우선 배치 시 ToF의 후방 보완은 생략.</x:v>
      </x:c>
    </x:row>
    <x:row r="17" ht="82" customHeight="1">
      <x:c r="A17" s="61" t="str">
        <x:v>SG2-4</x:v>
      </x:c>
      <x:c r="B17" s="61" t="str">
        <x:v>Gemini 2 + ToF 4</x:v>
      </x:c>
      <x:c r="C17" s="61" t="n">
        <x:v>4</x:v>
      </x:c>
      <x:c r="D17" s="65" t="n">
        <x:v>595100</x:v>
      </x:c>
      <x:c r="E17" s="62" t="n">
        <x:v>945100</x:v>
      </x:c>
      <x:c r="F17" s="62" t="n">
        <x:v>995100</x:v>
      </x:c>
      <x:c r="G17" s="61" t="str">
        <x:v>저가 IR 탑재안. 실내 우선 모델입니다. Gemini335보다 51,700원 저렴하므로 절감액과 처리 프로필을 함께 비교합니다. ToF4: 관측 범위를 넓히는 안이며 전방위 무사각은 아님.</x:v>
      </x:c>
    </x:row>
    <x:row r="18" ht="82" customHeight="1">
      <x:c r="A18" s="63" t="str">
        <x:v>S4-2</x:v>
      </x:c>
      <x:c r="B18" s="63" t="str">
        <x:v>신규 D435i + ToF 2</x:v>
      </x:c>
      <x:c r="C18" s="63" t="n">
        <x:v>2</x:v>
      </x:c>
      <x:c r="D18" s="65" t="n">
        <x:v>633400</x:v>
      </x:c>
      <x:c r="E18" s="64" t="n">
        <x:v>983400</x:v>
      </x:c>
      <x:c r="F18" s="64" t="n">
        <x:v>1033400</x:v>
      </x:c>
      <x:c r="G18" s="63" t="str">
        <x:v>보유품과 같은 개발 환경이 장점입니다. 표시가가 D436과34,000원 차이여서 신규 구매 우선순위는 낮습니다. VAT 확인. ToF2: 좌우 우선 배치 시 ToF의 후방 보완은 생략.</x:v>
      </x:c>
    </x:row>
    <x:row r="19" ht="82" customHeight="1">
      <x:c r="A19" s="61" t="str">
        <x:v>S3-4</x:v>
      </x:c>
      <x:c r="B19" s="61" t="str">
        <x:v>Gemini 335 + ToF 4</x:v>
      </x:c>
      <x:c r="C19" s="61" t="n">
        <x:v>4</x:v>
      </x:c>
      <x:c r="D19" s="65" t="n">
        <x:v>646800</x:v>
      </x:c>
      <x:c r="E19" s="62" t="n">
        <x:v>996800</x:v>
      </x:c>
      <x:c r="F19" s="62" t="n">
        <x:v>1046800</x:v>
      </x:c>
      <x:c r="G19" s="61" t="str">
        <x:v>신규 가성비 우선 후보. IR·능동/수동 깊이와 848×480@60fps 프로필이 장점입니다. RGB는 롤링 셔터입니다. ToF4: 관측 범위를 넓히는 안이며 전방위 무사각은 아님.</x:v>
      </x:c>
    </x:row>
    <x:row r="20" ht="82" customHeight="1">
      <x:c r="A20" s="63" t="str">
        <x:v>S5-2</x:v>
      </x:c>
      <x:c r="B20" s="63" t="str">
        <x:v>D436 + ToF 2</x:v>
      </x:c>
      <x:c r="C20" s="63" t="n">
        <x:v>2</x:v>
      </x:c>
      <x:c r="D20" s="65" t="n">
        <x:v>667400</x:v>
      </x:c>
      <x:c r="E20" s="64" t="n">
        <x:v>1017400</x:v>
      </x:c>
      <x:c r="F20" s="64" t="n">
        <x:v>1067400</x:v>
      </x:c>
      <x:c r="G20" s="63" t="str">
        <x:v>상위 우선 후보. IR·RGB 글로벌 셔터 최대60fps, 기존 RealSense 작업 재사용 이점. VAT와 동시 출력 지연 확인. ToF2: 좌우 우선 배치 시 ToF의 후방 보완은 생략.</x:v>
      </x:c>
    </x:row>
    <x:row r="21" ht="82" customHeight="1">
      <x:c r="A21" s="61" t="str">
        <x:v>SG335L-2</x:v>
      </x:c>
      <x:c r="B21" s="61" t="str">
        <x:v>Gemini 335L + ToF 2</x:v>
      </x:c>
      <x:c r="C21" s="61" t="n">
        <x:v>2</x:v>
      </x:c>
      <x:c r="D21" s="65" t="n">
        <x:v>675400</x:v>
      </x:c>
      <x:c r="E21" s="62" t="n">
        <x:v>1025400</x:v>
      </x:c>
      <x:c r="F21" s="62" t="n">
        <x:v>1075400</x:v>
      </x:c>
      <x:c r="G21" s="61" t="str">
        <x:v>상위 우선 후보. IR·RGB 글로벌 셔터60fps·95mm 기선. 335보다99,000원 높으며 근접 노면·가림은 시험해야 합니다. ToF2: 좌우 우선 배치 시 ToF의 후방 보완은 생략.</x:v>
      </x:c>
    </x:row>
    <x:row r="22" ht="82" customHeight="1">
      <x:c r="A22" s="63" t="str">
        <x:v>S4-4</x:v>
      </x:c>
      <x:c r="B22" s="63" t="str">
        <x:v>신규 D435i + ToF 4</x:v>
      </x:c>
      <x:c r="C22" s="63" t="n">
        <x:v>4</x:v>
      </x:c>
      <x:c r="D22" s="65" t="n">
        <x:v>703800</x:v>
      </x:c>
      <x:c r="E22" s="64" t="n">
        <x:v>1053800</x:v>
      </x:c>
      <x:c r="F22" s="64" t="n">
        <x:v>1103800</x:v>
      </x:c>
      <x:c r="G22" s="63" t="str">
        <x:v>보유품과 같은 개발 환경이 장점입니다. 표시가가 D436과34,000원 차이여서 신규 구매 우선순위는 낮습니다. VAT 확인. ToF4: 관측 범위를 넓히는 안이며 전방위 무사각은 아님.</x:v>
      </x:c>
    </x:row>
    <x:row r="23" ht="82" customHeight="1">
      <x:c r="A23" s="61" t="str">
        <x:v>SO2-2</x:v>
      </x:c>
      <x:c r="B23" s="61" t="str">
        <x:v>OAK-D S2 FF + ToF 2</x:v>
      </x:c>
      <x:c r="C23" s="61" t="n">
        <x:v>2</x:v>
      </x:c>
      <x:c r="D23" s="65" t="n">
        <x:v>719400</x:v>
      </x:c>
      <x:c r="E23" s="62" t="n">
        <x:v>1069400</x:v>
      </x:c>
      <x:c r="F23" s="62" t="n">
        <x:v>1119400</x:v>
      </x:c>
      <x:c r="G23" s="61" t="str">
        <x:v>800p 스테레오 입력의 OAK 비교안. IR 프로젝터가 없어 Lite의 무늬 부족 문제를 해결하는 업그레이드는 아닙니다. ToF2: 좌우 우선 배치 시 ToF의 후방 보완은 생략.</x:v>
      </x:c>
    </x:row>
    <x:row r="24" ht="82" customHeight="1">
      <x:c r="A24" s="63" t="str">
        <x:v>S5-4</x:v>
      </x:c>
      <x:c r="B24" s="63" t="str">
        <x:v>D436 + ToF 4</x:v>
      </x:c>
      <x:c r="C24" s="63" t="n">
        <x:v>4</x:v>
      </x:c>
      <x:c r="D24" s="65" t="n">
        <x:v>737800</x:v>
      </x:c>
      <x:c r="E24" s="64" t="n">
        <x:v>1087800</x:v>
      </x:c>
      <x:c r="F24" s="64" t="n">
        <x:v>1137800</x:v>
      </x:c>
      <x:c r="G24" s="63" t="str">
        <x:v>상위 우선 후보. IR·RGB 글로벌 셔터 최대60fps, 기존 RealSense 작업 재사용 이점. VAT와 동시 출력 지연 확인. ToF4: 관측 범위를 넓히는 안이며 전방위 무사각은 아님.</x:v>
      </x:c>
    </x:row>
    <x:row r="25" ht="82" customHeight="1">
      <x:c r="A25" s="61" t="str">
        <x:v>SG335L-4</x:v>
      </x:c>
      <x:c r="B25" s="61" t="str">
        <x:v>Gemini 335L + ToF 4</x:v>
      </x:c>
      <x:c r="C25" s="61" t="n">
        <x:v>4</x:v>
      </x:c>
      <x:c r="D25" s="65" t="n">
        <x:v>745800</x:v>
      </x:c>
      <x:c r="E25" s="62" t="n">
        <x:v>1095800</x:v>
      </x:c>
      <x:c r="F25" s="62" t="n">
        <x:v>1145800</x:v>
      </x:c>
      <x:c r="G25" s="61" t="str">
        <x:v>상위 우선 후보. IR·RGB 글로벌 셔터60fps·95mm 기선. 335보다99,000원 높으며 근접 노면·가림은 시험해야 합니다. ToF4: 관측 범위를 넓히는 안이며 전방위 무사각은 아님.</x:v>
      </x:c>
    </x:row>
    <x:row r="26" ht="82" customHeight="1">
      <x:c r="A26" s="63" t="str">
        <x:v>H-2</x:v>
      </x:c>
      <x:c r="B26" s="63" t="str">
        <x:v>D436 + C1 + ToF 2</x:v>
      </x:c>
      <x:c r="C26" s="63" t="n">
        <x:v>2</x:v>
      </x:c>
      <x:c r="D26" s="65" t="n">
        <x:v>766400</x:v>
      </x:c>
      <x:c r="E26" s="64" t="n">
        <x:v>1116400</x:v>
      </x:c>
      <x:c r="F26" s="64" t="n">
        <x:v>1166400</x:v>
      </x:c>
      <x:c r="G26" s="63" t="str">
        <x:v>깊이와 LiDAR를 병행하는 확장안. 센서·연산·통합 부담이 커서 단일 방식 시험 후 보완 필요가 확인되면 고려합니다. VAT 확인. ToF2: 좌우 우선 배치 시 ToF의 후방 보완은 생략.</x:v>
      </x:c>
    </x:row>
    <x:row r="27" ht="82" customHeight="1">
      <x:c r="A27" s="61" t="str">
        <x:v>SD455-2</x:v>
      </x:c>
      <x:c r="B27" s="61" t="str">
        <x:v>D455 + ToF 2</x:v>
      </x:c>
      <x:c r="C27" s="61" t="n">
        <x:v>2</x:v>
      </x:c>
      <x:c r="D27" s="65" t="n">
        <x:v>780400</x:v>
      </x:c>
      <x:c r="E27" s="62" t="n">
        <x:v>1130400</x:v>
      </x:c>
      <x:c r="F27" s="62" t="n">
        <x:v>1180400</x:v>
      </x:c>
      <x:c r="G27" s="61" t="str">
        <x:v>원거리 관측 비교안. IR·95mm 기선, RGB 글로벌 셔터30fps. 최대 해상도 최소 깊이 약52cm여서 근접 관측 조건 확인. VAT 확인. ToF2: 좌우 우선 배치 시 ToF의 후방 보완은 생략.</x:v>
      </x:c>
    </x:row>
    <x:row r="28" ht="82" customHeight="1">
      <x:c r="A28" s="63" t="str">
        <x:v>SO2-4</x:v>
      </x:c>
      <x:c r="B28" s="63" t="str">
        <x:v>OAK-D S2 FF + ToF 4</x:v>
      </x:c>
      <x:c r="C28" s="63" t="n">
        <x:v>4</x:v>
      </x:c>
      <x:c r="D28" s="65" t="n">
        <x:v>789800</x:v>
      </x:c>
      <x:c r="E28" s="64" t="n">
        <x:v>1139800</x:v>
      </x:c>
      <x:c r="F28" s="64" t="n">
        <x:v>1189800</x:v>
      </x:c>
      <x:c r="G28" s="63" t="str">
        <x:v>800p 스테레오 입력의 OAK 비교안. IR 프로젝터가 없어 Lite의 무늬 부족 문제를 해결하는 업그레이드는 아닙니다. ToF4: 관측 범위를 넓히는 안이며 전방위 무사각은 아님.</x:v>
      </x:c>
    </x:row>
    <x:row r="29" ht="82" customHeight="1">
      <x:c r="A29" s="61" t="str">
        <x:v>H-4</x:v>
      </x:c>
      <x:c r="B29" s="61" t="str">
        <x:v>D436 + C1 + ToF 4</x:v>
      </x:c>
      <x:c r="C29" s="61" t="n">
        <x:v>4</x:v>
      </x:c>
      <x:c r="D29" s="65" t="n">
        <x:v>836800</x:v>
      </x:c>
      <x:c r="E29" s="62" t="n">
        <x:v>1186800</x:v>
      </x:c>
      <x:c r="F29" s="62" t="n">
        <x:v>1236800</x:v>
      </x:c>
      <x:c r="G29" s="61" t="str">
        <x:v>깊이와 LiDAR를 병행하는 확장안. 센서·연산·통합 부담이 커서 단일 방식 시험 후 보완 필요가 확인되면 고려합니다. VAT 확인. ToF4: 관측 범위를 넓히는 안이며 전방위 무사각은 아님.</x:v>
      </x:c>
    </x:row>
    <x:row r="30" ht="82" customHeight="1">
      <x:c r="A30" s="63" t="str">
        <x:v>SD455-4</x:v>
      </x:c>
      <x:c r="B30" s="63" t="str">
        <x:v>D455 + ToF 4</x:v>
      </x:c>
      <x:c r="C30" s="63" t="n">
        <x:v>4</x:v>
      </x:c>
      <x:c r="D30" s="65" t="n">
        <x:v>850800</x:v>
      </x:c>
      <x:c r="E30" s="64" t="n">
        <x:v>1200800</x:v>
      </x:c>
      <x:c r="F30" s="64" t="n">
        <x:v>1250800</x:v>
      </x:c>
      <x:c r="G30" s="63" t="str">
        <x:v>원거리 관측 비교안. IR·95mm 기선, RGB 글로벌 셔터30fps. 최대 해상도 최소 깊이 약52cm여서 근접 관측 조건 확인. VAT 확인. ToF4: 관측 범위를 넓히는 안이며 전방위 무사각은 아님.</x:v>
      </x:c>
    </x:row>
    <x:row r="31" ht="82" customHeight="1">
      <x:c r="A31" s="61" t="str">
        <x:v>L3v-2</x:v>
      </x:c>
      <x:c r="B31" s="61" t="str">
        <x:v>RPLIDAR S3 20Hz + OV2710† + ToF 2</x:v>
      </x:c>
      <x:c r="C31" s="61" t="n">
        <x:v>2</x:v>
      </x:c>
      <x:c r="D31" s="65" t="n">
        <x:v>872960</x:v>
      </x:c>
      <x:c r="E31" s="62" t="n">
        <x:v>1222960</x:v>
      </x:c>
      <x:c r="F31" s="62" t="n">
        <x:v>1272960</x:v>
      </x:c>
      <x:c r="G31" s="61" t="str">
        <x:v>빠른 회전 LiDAR 비교안. 20Hz는 S3 지원 범위의 상단이며 설정·실효 스캔을 확인해야 합니다. RGB60fps 조건도 미확인입니다. ToF2: 좌우 우선 배치 시 ToF의 후방 보완은 생략.</x:v>
      </x:c>
    </x:row>
    <x:row r="32" ht="82" customHeight="1">
      <x:c r="A32" s="63" t="str">
        <x:v>L3-2</x:v>
      </x:c>
      <x:c r="B32" s="63" t="str">
        <x:v>RPLIDAR S3 20Hz + B0385* + ToF 2</x:v>
      </x:c>
      <x:c r="C32" s="63" t="n">
        <x:v>2</x:v>
      </x:c>
      <x:c r="D32" s="65" t="n">
        <x:v>905960</x:v>
      </x:c>
      <x:c r="E32" s="64" t="n">
        <x:v>1255960</x:v>
      </x:c>
      <x:c r="F32" s="64" t="n">
        <x:v>1305960</x:v>
      </x:c>
      <x:c r="G32" s="63" t="str">
        <x:v>빠른 회전 LiDAR와 글로벌 셔터 RGB 비교안. B0385는 품절이며 실제 스캔·영상 지연 검증이 필요합니다. ToF2: 좌우 우선 배치 시 ToF의 후방 보완은 생략.</x:v>
      </x:c>
    </x:row>
    <x:row r="33" ht="82" customHeight="1">
      <x:c r="A33" s="61" t="str">
        <x:v>SOP-2</x:v>
      </x:c>
      <x:c r="B33" s="61" t="str">
        <x:v>OAK-D Pro FF / IMX378 + ToF 2</x:v>
      </x:c>
      <x:c r="C33" s="61" t="n">
        <x:v>2</x:v>
      </x:c>
      <x:c r="D33" s="65" t="n">
        <x:v>922900</x:v>
      </x:c>
      <x:c r="E33" s="62" t="n">
        <x:v>1272900</x:v>
      </x:c>
      <x:c r="F33" s="62" t="n">
        <x:v>1322900</x:v>
      </x:c>
      <x:c r="G33" s="61" t="str">
        <x:v>IR 점무늬·투광기와 장치 내 처리가 필요한 상위 OAK안. RGB는 롤링 셔터입니다. 전원·가격을 고려하면 회의 본문 우선순위는 낮습니다. ToF2: 좌우 우선 배치 시 ToF의 후방 보완은 생략.</x:v>
      </x:c>
    </x:row>
    <x:row r="34" ht="82" customHeight="1">
      <x:c r="A34" s="63" t="str">
        <x:v>L3v-4</x:v>
      </x:c>
      <x:c r="B34" s="63" t="str">
        <x:v>RPLIDAR S3 20Hz + OV2710† + ToF 4</x:v>
      </x:c>
      <x:c r="C34" s="63" t="n">
        <x:v>4</x:v>
      </x:c>
      <x:c r="D34" s="65" t="n">
        <x:v>943360</x:v>
      </x:c>
      <x:c r="E34" s="64" t="n">
        <x:v>1293360</x:v>
      </x:c>
      <x:c r="F34" s="64" t="n">
        <x:v>1343360</x:v>
      </x:c>
      <x:c r="G34" s="63" t="str">
        <x:v>빠른 회전 LiDAR 비교안. 20Hz는 S3 지원 범위의 상단이며 설정·실효 스캔을 확인해야 합니다. RGB60fps 조건도 미확인입니다. ToF4: 관측 범위를 넓히는 안이며 전방위 무사각은 아님.</x:v>
      </x:c>
    </x:row>
    <x:row r="35" ht="82" customHeight="1">
      <x:c r="A35" s="61" t="str">
        <x:v>L3-4</x:v>
      </x:c>
      <x:c r="B35" s="61" t="str">
        <x:v>RPLIDAR S3 20Hz + B0385* + ToF 4</x:v>
      </x:c>
      <x:c r="C35" s="61" t="n">
        <x:v>4</x:v>
      </x:c>
      <x:c r="D35" s="65" t="n">
        <x:v>976360</x:v>
      </x:c>
      <x:c r="E35" s="62" t="n">
        <x:v>1326360</x:v>
      </x:c>
      <x:c r="F35" s="62" t="n">
        <x:v>1376360</x:v>
      </x:c>
      <x:c r="G35" s="61" t="str">
        <x:v>빠른 회전 LiDAR와 글로벌 셔터 RGB 비교안. B0385는 품절이며 실제 스캔·영상 지연 검증이 필요합니다. ToF4: 관측 범위를 넓히는 안이며 전방위 무사각은 아님.</x:v>
      </x:c>
    </x:row>
    <x:row r="36" ht="82" customHeight="1">
      <x:c r="A36" s="63" t="str">
        <x:v>SOP-4</x:v>
      </x:c>
      <x:c r="B36" s="63" t="str">
        <x:v>OAK-D Pro FF / IMX378 + ToF 4</x:v>
      </x:c>
      <x:c r="C36" s="63" t="n">
        <x:v>4</x:v>
      </x:c>
      <x:c r="D36" s="65" t="n">
        <x:v>993300</x:v>
      </x:c>
      <x:c r="E36" s="64" t="n">
        <x:v>1343300</x:v>
      </x:c>
      <x:c r="F36" s="64" t="n">
        <x:v>1393300</x:v>
      </x:c>
      <x:c r="G36" s="63" t="str">
        <x:v>IR 점무늬·투광기와 장치 내 처리가 필요한 상위 OAK안. RGB는 롤링 셔터입니다. 전원·가격을 고려하면 회의 본문 우선순위는 낮습니다. ToF4: 관측 범위를 넓히는 안이며 전방위 무사각은 아님.</x:v>
      </x:c>
    </x:row>
    <x:row r="37" ht="82" customHeight="1">
      <x:c r="A37" s="61" t="str">
        <x:v>SOPG-2</x:v>
      </x:c>
      <x:c r="B37" s="61" t="str">
        <x:v>OAK-D Pro FF-97 / OV9782 + ToF 2</x:v>
      </x:c>
      <x:c r="C37" s="61" t="n">
        <x:v>2</x:v>
      </x:c>
      <x:c r="D37" s="65" t="n">
        <x:v>1016400</x:v>
      </x:c>
      <x:c r="E37" s="62" t="n">
        <x:v>1366400</x:v>
      </x:c>
      <x:c r="F37" s="62" t="n">
        <x:v>1416400</x:v>
      </x:c>
      <x:c r="G37" s="61" t="str">
        <x:v>IR과 RGB 글로벌 셔터를 모두 갖춘 상위 OAK안. 고속 RGB 센서 입력이 깊이·인식 처리율을 뜻하지 않으며 추가 비용이 큽니다. ToF2: 좌우 우선 배치 시 ToF의 후방 보완은 생략.</x:v>
      </x:c>
    </x:row>
    <x:row r="38" ht="82" customHeight="1">
      <x:c r="A38" s="63" t="str">
        <x:v>SOPG-4</x:v>
      </x:c>
      <x:c r="B38" s="63" t="str">
        <x:v>OAK-D Pro FF-97 / OV9782 + ToF 4</x:v>
      </x:c>
      <x:c r="C38" s="63" t="n">
        <x:v>4</x:v>
      </x:c>
      <x:c r="D38" s="65" t="n">
        <x:v>1086800</x:v>
      </x:c>
      <x:c r="E38" s="64" t="n">
        <x:v>1436800</x:v>
      </x:c>
      <x:c r="F38" s="64" t="n">
        <x:v>1486800</x:v>
      </x:c>
      <x:c r="G38" s="63" t="str">
        <x:v>IR과 RGB 글로벌 셔터를 모두 갖춘 상위 OAK안. 고속 RGB 센서 입력이 깊이·인식 처리율을 뜻하지 않으며 추가 비용이 큽니다. ToF4: 관측 범위를 넓히는 안이며 전방위 무사각은 아님.</x:v>
      </x:c>
    </x:row>
    <x:row r="39" ht="82" customHeight="1">
      <x:c r="A39" s="3"/>
      <x:c r="B39" s="3"/>
      <x:c r="C39" s="3"/>
      <x:c r="D39" s="3"/>
      <x:c r="E39" s="3"/>
      <x:c r="F39" s="3"/>
      <x:c r="G39" s="3"/>
    </x:row>
    <x:row r="40" ht="45" customHeight="1">
      <x:c r="A40" s="3" t="str">
        <x:v>정렬 기준: 센서 합계 오름차순. 세금·배송·보유품 평가 조건은 구성 비교 하단과 단가와 출처를 확인합니다. Excel 365/2021 이상 SORT 함수 사용.</x:v>
      </x:c>
      <x:c r="B40" s="3"/>
      <x:c r="C40" s="3"/>
      <x:c r="D40" s="3"/>
      <x:c r="E40" s="3"/>
      <x:c r="F40" s="3"/>
      <x:c r="G40" s="3"/>
    </x:row>
    <x:row r="41" ht="82" customHeight="1">
      <x:c r="A41" s="3"/>
      <x:c r="B41" s="3"/>
      <x:c r="C41" s="3"/>
      <x:c r="D41" s="3"/>
      <x:c r="E41" s="3"/>
      <x:c r="F41" s="3"/>
      <x:c r="G41" s="3"/>
    </x:row>
    <x:row r="42" ht="82" customHeight="1">
      <x:c r="A42" s="3"/>
      <x:c r="B42" s="3"/>
      <x:c r="C42" s="3"/>
      <x:c r="D42" s="3"/>
      <x:c r="E42" s="3"/>
      <x:c r="F42" s="3"/>
      <x:c r="G42" s="3"/>
    </x:row>
    <x:row r="43" ht="82" customHeight="1">
      <x:c r="A43" s="3"/>
      <x:c r="B43" s="3"/>
      <x:c r="C43" s="3"/>
      <x:c r="D43" s="3"/>
      <x:c r="E43" s="3"/>
      <x:c r="F43" s="3"/>
      <x:c r="G43" s="3"/>
    </x:row>
    <x:row r="44" ht="82" customHeight="1">
      <x:c r="A44" s="3"/>
      <x:c r="B44" s="3"/>
      <x:c r="C44" s="3"/>
      <x:c r="D44" s="3"/>
      <x:c r="E44" s="3"/>
      <x:c r="F44" s="3"/>
      <x:c r="G44" s="3"/>
    </x:row>
    <x:row r="45" ht="82" customHeight="1">
      <x:c r="A45" s="3"/>
      <x:c r="B45" s="3"/>
      <x:c r="C45" s="3"/>
      <x:c r="D45" s="3"/>
      <x:c r="E45" s="3"/>
      <x:c r="F45" s="3"/>
      <x:c r="G45" s="3"/>
    </x:row>
    <x:row r="46" ht="82" customHeight="1">
      <x:c r="A46" s="3"/>
      <x:c r="B46" s="3"/>
      <x:c r="C46" s="3"/>
      <x:c r="D46" s="3"/>
      <x:c r="E46" s="3"/>
      <x:c r="F46" s="3"/>
      <x:c r="G46" s="3"/>
    </x:row>
    <x:row r="47" ht="82" customHeight="1">
      <x:c r="A47" s="3"/>
      <x:c r="B47" s="3"/>
      <x:c r="C47" s="3"/>
      <x:c r="D47" s="3"/>
      <x:c r="E47" s="3"/>
      <x:c r="F47" s="3"/>
      <x:c r="G47" s="3"/>
    </x:row>
    <x:row r="48" ht="82" customHeight="1">
      <x:c r="A48" s="3"/>
      <x:c r="B48" s="3"/>
      <x:c r="C48" s="3"/>
      <x:c r="D48" s="3"/>
      <x:c r="E48" s="3"/>
      <x:c r="F48" s="3"/>
      <x:c r="G48" s="3"/>
    </x:row>
  </x:sheetData>
  <x:mergeCells>
    <x:mergeCell ref="A1:G1"/>
    <x:mergeCell ref="A2:G2"/>
    <x:mergeCell ref="A40:G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25" hidden="0" customWidth="1"/>
    <x:col min="2" max="2" width="14" hidden="0" customWidth="1"/>
    <x:col min="3" max="3" width="14.75" hidden="0" customWidth="1"/>
    <x:col min="4" max="4" width="22.25" hidden="0" customWidth="1"/>
    <x:col min="5" max="5" width="22.25" hidden="0" customWidth="1"/>
    <x:col min="6" max="6" width="42.5" hidden="0" customWidth="1"/>
    <x:col min="7" max="7" width="30" hidden="0" customWidth="1"/>
  </x:cols>
  <x:sheetData>
    <x:row r="1" ht="43" customHeight="1">
      <x:c r="A1" s="35" t="str">
        <x:v>스테레오 카메라의 차이</x:v>
      </x:c>
      <x:c r="B1" s="3"/>
      <x:c r="C1" s="3"/>
      <x:c r="D1" s="3"/>
      <x:c r="E1" s="3"/>
      <x:c r="F1" s="3"/>
      <x:c r="G1" s="3"/>
    </x:row>
    <x:row r="2" ht="37" customHeight="1">
      <x:c r="A2" s="36" t="str">
        <x:v>2026-09-05 · 단품 가격과 IR·깊이·RGB를 구분합니다. FPS는 기재된 모드 기준이며 실차 지연·동시 처리율 보증이 아닙니다.</x:v>
      </x:c>
      <x:c r="B2" s="3"/>
      <x:c r="C2" s="3"/>
      <x:c r="D2" s="3"/>
      <x:c r="E2" s="3"/>
      <x:c r="F2" s="3"/>
      <x:c r="G2" s="3"/>
    </x:row>
    <x:row r="3" ht="16" customHeight="1">
      <x:c r="A3" s="3"/>
      <x:c r="B3" s="3"/>
      <x:c r="C3" s="3"/>
      <x:c r="D3" s="3"/>
      <x:c r="E3" s="3"/>
      <x:c r="F3" s="3"/>
      <x:c r="G3" s="3"/>
    </x:row>
    <x:row r="4" ht="40" customHeight="1">
      <x:c r="A4" s="60" t="str">
        <x:v>모델</x:v>
      </x:c>
      <x:c r="B4" s="60" t="str">
        <x:v>카메라 단가</x:v>
      </x:c>
      <x:c r="C4" s="60" t="str">
        <x:v>IR 점무늬</x:v>
      </x:c>
      <x:c r="D4" s="60" t="str">
        <x:v>깊이 / 스테레오</x:v>
      </x:c>
      <x:c r="E4" s="60" t="str">
        <x:v>RGB</x:v>
      </x:c>
      <x:c r="F4" s="60" t="str">
        <x:v>코멘트</x:v>
      </x:c>
      <x:c r="G4" s="60" t="str">
        <x:v>제조사 사양 출처</x:v>
      </x:c>
    </x:row>
    <x:row r="5" ht="112" customHeight="1">
      <x:c r="A5" s="61" t="str">
        <x:v>Gemini 2</x:v>
      </x:c>
      <x:c r="B5" s="62" t="n">
        <x:f>'단가와 출처'!B24</x:f>
        <x:v>454300</x:v>
      </x:c>
      <x:c r="C5" s="66" t="str">
        <x:v>있음</x:v>
      </x:c>
      <x:c r="D5" s="61" t="str">
        <x:v>50mm 기선
1280×800 30fps
640×400 60fps</x:v>
      </x:c>
      <x:c r="E5" s="61" t="str">
        <x:v>롤링 셔터
1080p 30fps
720p 60fps</x:v>
      </x:c>
      <x:c r="F5" s="61" t="str">
        <x:v>IR을 갖춘 저가 비교안. 제조사 현재 표는 실내 우선. 60fps 깊이는 저해상도 모드 조건을 확인합니다. 335와51,700원 차이여서 가격만으로 선택하기는 애매합니다.</x:v>
      </x:c>
      <x:c r="G5" s="61" t="str">
        <x:v>https://www.orbbec.com/compare-products-spec/</x:v>
      </x:c>
    </x:row>
    <x:row r="6" ht="112" customHeight="1">
      <x:c r="A6" s="63" t="str">
        <x:v>Gemini 335</x:v>
      </x:c>
      <x:c r="B6" s="64" t="n">
        <x:f>'단가와 출처'!B8</x:f>
        <x:v>506000</x:v>
      </x:c>
      <x:c r="C6" s="67" t="str">
        <x:v>있음</x:v>
      </x:c>
      <x:c r="D6" s="63" t="str">
        <x:v>50mm 기선
1280×800 30fps
848×480 60fps</x:v>
      </x:c>
      <x:c r="E6" s="63" t="str">
        <x:v>롤링 셔터
1080p 30fps
720p 60fps</x:v>
      </x:c>
      <x:c r="F6" s="63" t="str">
        <x:v>신규 가성비 우선 후보. 능동/수동 깊이와 실내외 용도. 깊이는 글로벌 셔터지만 RGB까지 글로벌인 것은 아닙니다. SDK/ROS 연동은 확인해야 합니다.</x:v>
      </x:c>
      <x:c r="G6" s="63" t="str">
        <x:v>https://www.orbbec.com/compare-products-spec/</x:v>
      </x:c>
    </x:row>
    <x:row r="7" ht="112" customHeight="1">
      <x:c r="A7" s="61" t="str">
        <x:v>Gemini 335L</x:v>
      </x:c>
      <x:c r="B7" s="62" t="n">
        <x:f>'단가와 출처'!B25</x:f>
        <x:v>605000</x:v>
      </x:c>
      <x:c r="C7" s="66" t="str">
        <x:v>있음</x:v>
      </x:c>
      <x:c r="D7" s="61" t="str">
        <x:v>95mm 기선
1280×800 30fps
848×480 60fps</x:v>
      </x:c>
      <x:c r="E7" s="61" t="str">
        <x:v>글로벌 셔터
1280×800 60fps</x:v>
      </x:c>
      <x:c r="F7" s="61" t="str">
        <x:v>상위 우선 후보. 335보다99,000원에 긴 기선과 RGB 글로벌 셔터를 얻습니다. 단순히 큰335가 아닙니다. 가까운 노면의 유효 깊이·가림을 확인합니다.</x:v>
      </x:c>
      <x:c r="G7" s="61" t="str">
        <x:v>https://www.orbbec.com/compare-products-spec/</x:v>
      </x:c>
    </x:row>
    <x:row r="8" ht="112" customHeight="1">
      <x:c r="A8" s="63" t="str">
        <x:v>OAK-D Lite FF</x:v>
      </x:c>
      <x:c r="B8" s="64" t="n">
        <x:f>'단가와 출처'!B7</x:f>
        <x:v>384901</x:v>
      </x:c>
      <x:c r="C8" s="67" t="str">
        <x:v>없음</x:v>
      </x:c>
      <x:c r="D8" s="63" t="str">
        <x:v>640×480
깊이용 센서 입력
실효 깊이 fps 확인</x:v>
      </x:c>
      <x:c r="E8" s="63" t="str">
        <x:v>롤링 셔터 IMX214
최대35fps 표기
FF 50cm~무한대</x:v>
      </x:c>
      <x:c r="F8" s="63" t="str">
        <x:v>절감용 조건부 안. 무늬가 적은 노면·벽에서 시험 필요. FF는 차량 진동에 제조사가 권하는 선택이며 IR 유무와는 별개입니다. RGB60fps 필수면 우선 제외합니다.</x:v>
      </x:c>
      <x:c r="G8" s="63" t="str">
        <x:v>https://checkout.luxonis.com/products/oak-d-lite-1</x:v>
      </x:c>
    </x:row>
    <x:row r="9" ht="112" customHeight="1">
      <x:c r="A9" s="61" t="str">
        <x:v>신규 D435i</x:v>
      </x:c>
      <x:c r="B9" s="62" t="n">
        <x:f>'단가와 출처'!B9</x:f>
        <x:v>563000</x:v>
      </x:c>
      <x:c r="C9" s="66" t="str">
        <x:v>있음</x:v>
      </x:c>
      <x:c r="D9" s="61" t="str">
        <x:v>깊이 글로벌 셔터
최대1280×720
최대90fps는 모드별</x:v>
      </x:c>
      <x:c r="E9" s="61" t="str">
        <x:v>롤링 셔터</x:v>
      </x:c>
      <x:c r="F9" s="61" t="str">
        <x:v>기존 보유 장비의 기준기. 신규는 D436과 표시가34,000원 차이여서 기존 작업과의 동일성 필요가 크지 않으면 우선순위가 낮습니다. VAT 미확인.</x:v>
      </x:c>
      <x:c r="G9" s="61" t="str">
        <x:v>https://www.realsenseai.com/products/depth-camera-d435i/</x:v>
      </x:c>
    </x:row>
    <x:row r="10" ht="112" customHeight="1">
      <x:c r="A10" s="63" t="str">
        <x:v>D436</x:v>
      </x:c>
      <x:c r="B10" s="64" t="n">
        <x:f>'단가와 출처'!B10</x:f>
        <x:v>597000</x:v>
      </x:c>
      <x:c r="C10" s="67" t="str">
        <x:v>있음</x:v>
      </x:c>
      <x:c r="D10" s="63" t="str">
        <x:v>D430 깊이 모듈 계열
최대1280×720
최대90fps는 모드별</x:v>
      </x:c>
      <x:c r="E10" s="63" t="str">
        <x:v>글로벌 셔터
최대1280×800
최대60fps</x:v>
      </x:c>
      <x:c r="F10" s="63" t="str">
        <x:v>상위 우선 후보. D435i와 깊이 모듈 계열이 같고 RGB를 개선한 선택지입니다. Gemini335L과 가격·근접 깊이·ROS 이식 부담을 비교합니다. VAT 미확인.</x:v>
      </x:c>
      <x:c r="G10" s="63" t="str">
        <x:v>https://www.realsenseai.com/products/d436/</x:v>
      </x:c>
    </x:row>
    <x:row r="11" ht="112" customHeight="1">
      <x:c r="A11" s="61" t="str">
        <x:v>D455</x:v>
      </x:c>
      <x:c r="B11" s="62" t="n">
        <x:f>'단가와 출처'!B28</x:f>
        <x:v>710000</x:v>
      </x:c>
      <x:c r="C11" s="66" t="str">
        <x:v>있음</x:v>
      </x:c>
      <x:c r="D11" s="61" t="str">
        <x:v>95mm 기선
최대1280×720
최대90fps는 모드별</x:v>
      </x:c>
      <x:c r="E11" s="61" t="str">
        <x:v>글로벌 셔터
1280×800 30fps</x:v>
      </x:c>
      <x:c r="F11" s="61" t="str">
        <x:v>원거리용 비교안. 최대 해상도에서 최소 깊이 약52cm. 저해상도 조건은 별도입니다. 근접 노면과 RGB60fps 우선이면335L·D436을 먼저 봅니다. VAT 미확인.</x:v>
      </x:c>
      <x:c r="G11" s="61" t="str">
        <x:v>https://www.realsenseai.com/depth-camera-d455/</x:v>
      </x:c>
    </x:row>
    <x:row r="12" ht="112" customHeight="1">
      <x:c r="A12" s="63" t="str">
        <x:v>OAK-D S2 FF</x:v>
      </x:c>
      <x:c r="B12" s="64" t="n">
        <x:f>'단가와 출처'!B26</x:f>
        <x:v>649000</x:v>
      </x:c>
      <x:c r="C12" s="67" t="str">
        <x:v>없음</x:v>
      </x:c>
      <x:c r="D12" s="63" t="str">
        <x:v>1280×800
깊이용 센서 입력
실효 깊이 fps 확인</x:v>
      </x:c>
      <x:c r="E12" s="63" t="str">
        <x:v>롤링 셔터 IMX378
최대60fps는 모드별</x:v>
      </x:c>
      <x:c r="F12" s="63" t="str">
        <x:v>Lite보다 고해상도 깊이용 입력이 필요할 때 비교. IR이 없어서 현재 우려에 직접 대응하지는 못합니다. OAK 개발환경 선호가 없다면 우선순위가 낮습니다.</x:v>
      </x:c>
      <x:c r="G12" s="63" t="str">
        <x:v>https://shop.luxonis.com/products/oak-d-s2</x:v>
      </x:c>
    </x:row>
    <x:row r="13" ht="112" customHeight="1">
      <x:c r="A13" s="61" t="str">
        <x:v>OAK-D Pro FF
IMX378</x:v>
      </x:c>
      <x:c r="B13" s="62" t="n">
        <x:f>'단가와 출처'!B27</x:f>
        <x:v>852500</x:v>
      </x:c>
      <x:c r="C13" s="66" t="str">
        <x:v>있음
IR 투광기도 탑재</x:v>
      </x:c>
      <x:c r="D13" s="61" t="str">
        <x:v>1280×800
깊이용 센서 입력
실효 깊이 fps 확인</x:v>
      </x:c>
      <x:c r="E13" s="61" t="str">
        <x:v>롤링 셔터 IMX378
최대60fps는 모드별</x:v>
      </x:c>
      <x:c r="F13" s="61" t="str">
        <x:v>IR 보강과 장치 내 처리용 상위 OAK. 점무늬는 깊이 대응점, 투광기는 어두운 곳의 IR 영상 보조로 역할이 다릅니다. RGB 글로벌 셔터로 착각하지 않아야 합니다.</x:v>
      </x:c>
      <x:c r="G13" s="61" t="str">
        <x:v>https://docs.luxonis.com/hardware/products/OAK-D%20Pro</x:v>
      </x:c>
    </x:row>
    <x:row r="14" ht="112" customHeight="1">
      <x:c r="A14" s="63" t="str">
        <x:v>OAK-D Pro FF-97
OV9782</x:v>
      </x:c>
      <x:c r="B14" s="64" t="n">
        <x:f>'단가와 출처'!B29</x:f>
        <x:v>946000</x:v>
      </x:c>
      <x:c r="C14" s="67" t="str">
        <x:v>있음
IR 투광기도 탑재</x:v>
      </x:c>
      <x:c r="D14" s="63" t="str">
        <x:v>1280×800
깊이용 센서 입력
실효 깊이 fps 확인</x:v>
      </x:c>
      <x:c r="E14" s="63" t="str">
        <x:v>글로벌 셔터 OV9782
1280×800
최대120fps 입력</x:v>
      </x:c>
      <x:c r="F14" s="63" t="str">
        <x:v>IR과 RGB 글로벌 셔터를 함께 원할 때 비교. 센서120fps가 깊이120fps는 아닙니다. IMX378판보다93,500원 비싸며 IR 사용 전원·실효 출력 조건을 확인합니다.</x:v>
      </x:c>
      <x:c r="G14" s="63" t="str">
        <x:v>https://docs.luxonis.com/hardware/products/OAK-D%20Pro</x:v>
      </x:c>
    </x:row>
    <x:row r="15" ht="112" customHeight="1">
      <x:c r="A15" s="3"/>
      <x:c r="B15" s="3"/>
      <x:c r="C15" s="3"/>
      <x:c r="D15" s="3"/>
      <x:c r="E15" s="3"/>
      <x:c r="F15" s="3"/>
      <x:c r="G15" s="3"/>
    </x:row>
    <x:row r="16" ht="112" customHeight="1">
      <x:c r="A16" s="3"/>
      <x:c r="B16" s="3"/>
      <x:c r="C16" s="3"/>
      <x:c r="D16" s="3"/>
      <x:c r="E16" s="3"/>
      <x:c r="F16" s="3"/>
      <x:c r="G16" s="3"/>
    </x:row>
    <x:row r="17" ht="53" customHeight="1">
      <x:c r="A17" s="3" t="str">
        <x:v>Gemini 이름</x:v>
      </x:c>
      <x:c r="B17" s="3" t="str">
        <x:v>Gemini 2와330계열(335/335L)은 다른 제품군입니다. L은 긴 기선 모델이지만, 335→335L에서는 RGB 센서까지 바뀝니다. 숫자가 큰 순서의 단순 성능 등급으로 해석하지 않습니다.</x:v>
      </x:c>
      <x:c r="C17" s="3"/>
      <x:c r="D17" s="3"/>
      <x:c r="E17" s="3"/>
      <x:c r="F17" s="3"/>
      <x:c r="G17" s="3"/>
    </x:row>
    <x:row r="18" ht="53" customHeight="1">
      <x:c r="A18" s="3" t="str">
        <x:v>기선의 뜻</x:v>
      </x:c>
      <x:c r="B18" s="3" t="str">
        <x:v>좌우 깊이 카메라 사이의 간격입니다. 긴 기선은 원거리 정밀도에 유리할 수 있지만 최소 관측 거리·가림도 함께 비교해야 합니다. 차량 크기 자체는 이번 선별 우선 기준이 아닙니다.</x:v>
      </x:c>
      <x:c r="C18" s="3"/>
      <x:c r="D18" s="3"/>
      <x:c r="E18" s="3"/>
      <x:c r="F18" s="3"/>
      <x:c r="G18" s="3"/>
    </x:row>
    <x:row r="19" ht="53" customHeight="1">
      <x:c r="A19" s="3" t="str">
        <x:v>336 / 336L</x:v>
      </x:c>
      <x:c r="B19" s="3" t="str">
        <x:v>335와의 주요 차이는 깊이 카메라의 IR-pass 광학 필터입니다. IR 프로젝터 유무의 차이로 구분하지 않습니다. 이번에는 기본335/335L을 우선 비교하고 필터 필요가 확인되면 추가합니다.</x:v>
      </x:c>
      <x:c r="C19" s="3"/>
      <x:c r="D19" s="3"/>
      <x:c r="E19" s="3"/>
      <x:c r="F19" s="3"/>
      <x:c r="G19" s="3"/>
    </x:row>
    <x:row r="20" ht="53" customHeight="1">
      <x:c r="A20" s="3" t="str">
        <x:v>다른 파생형</x:v>
      </x:c>
      <x:c r="B20" s="3" t="str">
        <x:v>2L은335L과 같은 모델이 아닙니다. Le(Ethernet)·Lg(GMSL) 파생형은 연결 방식·가격 조건까지 달라 현재 USB 연결 예산 대표안에서 제외합니다. 성능 불합격 판정은 아닙니다.</x:v>
      </x:c>
      <x:c r="C20" s="3"/>
      <x:c r="D20" s="3"/>
      <x:c r="E20" s="3"/>
      <x:c r="F20" s="3"/>
      <x:c r="G20" s="3"/>
    </x:row>
    <x:row r="21" ht="53" customHeight="1">
      <x:c r="A21" s="3" t="str">
        <x:v>IR과 초점</x:v>
      </x:c>
      <x:c r="B21" s="3" t="str">
        <x:v>IR 점무늬는 무늬 부족을 보완하고, 초점 방식은 영상의 선명한 거리와 관련됩니다. 고정초점 자체가 단점은 아닙니다. 표면·조명별 깊이 누락과 실제 관측 거리를 시험합니다.</x:v>
      </x:c>
      <x:c r="C21" s="3"/>
      <x:c r="D21" s="3"/>
      <x:c r="E21" s="3"/>
      <x:c r="F21" s="3"/>
      <x:c r="G21" s="3"/>
    </x:row>
    <x:row r="22" ht="53" customHeight="1">
      <x:c r="A22" s="3" t="str">
        <x:v>Lite IR 추가</x:v>
      </x:c>
      <x:c r="B22" s="3" t="str">
        <x:v>Lite 깊이 카메라는 IR-cut 필터가 있어 외부 IR 광원을 달면 Pro처럼 바뀐다고 가정하지 않습니다. ToF는 별도 거리 센서이며 스테레오용 IR 점무늬를 대신하는 장치가 아닙니다.</x:v>
      </x:c>
      <x:c r="C22" s="3"/>
      <x:c r="D22" s="3"/>
      <x:c r="E22" s="3"/>
      <x:c r="F22" s="3"/>
      <x:c r="G22" s="3"/>
    </x:row>
    <x:row r="23" ht="53" customHeight="1">
      <x:c r="A23" s="3" t="str">
        <x:v>회의 선별</x:v>
      </x:c>
      <x:c r="B23" s="3" t="str">
        <x:v>보유 허용: D435i. 신규 가성비: Gemini335. 상위: Gemini335L과D436 중 실구매비·통합 부담을 비교해 선별. 가격 하한 설명용: OAK Lite. C1/S3 LiDAR 대안도 구성 비교에서 유지합니다.</x:v>
      </x:c>
      <x:c r="C23" s="3"/>
      <x:c r="D23" s="3"/>
      <x:c r="E23" s="3"/>
      <x:c r="F23" s="3"/>
      <x:c r="G23" s="3"/>
    </x:row>
    <x:row r="24" ht="53" customHeight="1">
      <x:c r="A24" s="3" t="str">
        <x:v>검증 조건</x:v>
      </x:c>
      <x:c r="B24" s="3" t="str">
        <x:v>모든 카메라는 목표 해상도에서 노출·깊이 필터·RGB/깊이 동시 출력·Jetson/ROS 지연을 확인합니다. 실제 노면, 어두운 표면, 강한 조명, 다른 차량·ToF 동시 구동은 실물 시험 항목입니다.</x:v>
      </x:c>
      <x:c r="C24" s="3"/>
      <x:c r="D24" s="3"/>
      <x:c r="E24" s="3"/>
      <x:c r="F24" s="3"/>
      <x:c r="G24" s="3"/>
    </x:row>
    <x:row r="25" ht="112" customHeight="1">
      <x:c r="A25" s="3"/>
      <x:c r="B25" s="3"/>
      <x:c r="C25" s="3"/>
      <x:c r="D25" s="3"/>
      <x:c r="E25" s="3"/>
      <x:c r="F25" s="3"/>
      <x:c r="G25" s="3"/>
    </x:row>
    <x:row r="26" ht="40" customHeight="1">
      <x:c r="A26" s="3" t="str">
        <x:v>보조 사양 출처</x:v>
      </x:c>
      <x:c r="B26" s="3" t="str">
        <x:v>https://www.orbbec.com/compare-products-spec/</x:v>
      </x:c>
      <x:c r="C26" s="3"/>
      <x:c r="D26" s="3"/>
      <x:c r="E26" s="3"/>
      <x:c r="F26" s="3"/>
      <x:c r="G26" s="3"/>
    </x:row>
    <x:row r="27" ht="112" customHeight="1">
      <x:c r="A27" s="3"/>
      <x:c r="B27" s="3"/>
      <x:c r="C27" s="3"/>
      <x:c r="D27" s="3"/>
      <x:c r="E27" s="3"/>
      <x:c r="F27" s="3"/>
      <x:c r="G27" s="3"/>
    </x:row>
    <x:row r="28" ht="112" customHeight="1">
      <x:c r="A28" s="3"/>
      <x:c r="B28" s="3"/>
      <x:c r="C28" s="3"/>
      <x:c r="D28" s="3"/>
      <x:c r="E28" s="3"/>
      <x:c r="F28" s="3"/>
      <x:c r="G28" s="3"/>
    </x:row>
    <x:row r="29" ht="112" customHeight="1">
      <x:c r="A29" s="3"/>
      <x:c r="B29" s="3"/>
      <x:c r="C29" s="3"/>
      <x:c r="D29" s="3"/>
      <x:c r="E29" s="3"/>
      <x:c r="F29" s="3"/>
      <x:c r="G29" s="3"/>
    </x:row>
    <x:row r="30" ht="112" customHeight="1">
      <x:c r="A30" s="3"/>
      <x:c r="B30" s="3"/>
      <x:c r="C30" s="3"/>
      <x:c r="D30" s="3"/>
      <x:c r="E30" s="3"/>
      <x:c r="F30" s="3"/>
      <x:c r="G30" s="3"/>
    </x:row>
  </x:sheetData>
  <x:mergeCells>
    <x:mergeCell ref="A1:G1"/>
    <x:mergeCell ref="A2:G2"/>
    <x:mergeCell ref="B17:G17"/>
    <x:mergeCell ref="B18:G18"/>
    <x:mergeCell ref="B19:G19"/>
    <x:mergeCell ref="B20:G20"/>
    <x:mergeCell ref="B21:G21"/>
    <x:mergeCell ref="B22:G22"/>
    <x:mergeCell ref="B23:G23"/>
    <x:mergeCell ref="B24:G24"/>
    <x:mergeCell ref="B26:G26"/>
  </x:mergeCells>
  <x:pageMargins left="0.7" right="0.7" top="0.75" bottom="0.75" header="0.3" footer="0.3"/>
</x:worksheet>
</file>