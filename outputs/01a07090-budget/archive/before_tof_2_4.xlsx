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b6a4bc498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구성 비교" sheetId="1" r:id="Refeb2571d061469f"/>
    <x:sheet xmlns:r="http://schemas.openxmlformats.org/officeDocument/2006/relationships" name="단가와 출처" sheetId="2" r:id="R6942f06c91bf4627"/>
    <x:sheet xmlns:r="http://schemas.openxmlformats.org/officeDocument/2006/relationships" name="차체 견적 대조" sheetId="3" r:id="R71712620af884654"/>
    <x:sheet xmlns:r="http://schemas.openxmlformats.org/officeDocument/2006/relationships" name="예산 조건" sheetId="4" r:id="Red8dd8fc4751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0"/>
  </x:numFmts>
  <x:fonts count="6">
    <x:font>
      <x:sz val="11"/>
      <x:name val="Carlito"/>
    </x:font>
    <x:font>
      <x:sz val="11"/>
      <x:color rgb="FF243247"/>
      <x:name val="Arial"/>
    </x:font>
    <x:font>
      <x:b/>
      <x:sz val="15"/>
      <x:color rgb="FF243247"/>
      <x:name val="Arial"/>
    </x:font>
    <x:font>
      <x:sz val="10"/>
      <x:color rgb="FF59677A"/>
      <x:name val="Arial"/>
    </x:font>
    <x:font>
      <x:b/>
      <x:sz val="11"/>
      <x:color rgb="FFFFFFFF"/>
      <x:name val="Arial"/>
    </x:font>
    <x:font>
      <x:b/>
      <x:sz val="16"/>
      <x:color rgb="FF243247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34445A"/>
      </x:patternFill>
    </x:fill>
    <x:fill>
      <x:patternFill patternType="solid">
        <x:fgColor rgb="FFFFF1CD"/>
      </x:patternFill>
    </x:fill>
    <x:fill>
      <x:patternFill patternType="solid">
        <x:fgColor rgb="FFE6EDF5"/>
      </x:patternFill>
    </x:fill>
    <x:fill>
      <x:patternFill patternType="solid">
        <x:fgColor rgb="FFF2F2F2"/>
      </x:patternFill>
    </x:fill>
    <x:fill>
      <x:patternFill patternType="solid">
        <x:fgColor rgb="FFFFF1CD"/>
      </x:patternFill>
    </x:fill>
    <x:fill>
      <x:patternFill patternType="solid">
        <x:fgColor rgb="FFEAF4E9"/>
      </x:patternFill>
    </x:fill>
    <x:fill>
      <x:patternFill patternType="solid">
        <x:fgColor rgb="FFFFF1CD"/>
      </x:patternFill>
    </x:fill>
    <x:fill>
      <x:patternFill patternType="solid">
        <x:fgColor rgb="FFEAF4E9"/>
      </x:patternFill>
    </x:fill>
    <x:fill>
      <x:patternFill patternType="solid">
        <x:fgColor rgb="FF34445A"/>
      </x:patternFill>
    </x:fill>
    <x:fill>
      <x:patternFill patternType="solid">
        <x:fgColor rgb="FFFFF1C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E6EDF5"/>
      </x:patternFill>
    </x:fill>
  </x:fills>
  <x:borders count="1">
    <x:border/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202" fontId="1" fillId="6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8" borderId="0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0b232b6a84c90" /><Relationship Type="http://schemas.openxmlformats.org/officeDocument/2006/relationships/theme" Target="/xl/theme/theme1.xml" Id="Rf8c5b0013a7c4cd8" /><Relationship Type="http://schemas.openxmlformats.org/officeDocument/2006/relationships/sharedStrings" Target="/xl/sharedStrings.xml" Id="Rfe20952439f24942" /><Relationship Type="http://schemas.openxmlformats.org/officeDocument/2006/relationships/worksheet" Target="/xl/worksheets/sheet1.xml" Id="Refeb2571d061469f" /><Relationship Type="http://schemas.openxmlformats.org/officeDocument/2006/relationships/worksheet" Target="/xl/worksheets/sheet2.xml" Id="R6942f06c91bf4627" /><Relationship Type="http://schemas.openxmlformats.org/officeDocument/2006/relationships/worksheet" Target="/xl/worksheets/sheet3.xml" Id="R71712620af884654" /><Relationship Type="http://schemas.openxmlformats.org/officeDocument/2006/relationships/worksheet" Target="/xl/worksheets/sheet4.xml" Id="Red8dd8fc475147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38.75" hidden="0" customWidth="1"/>
    <x:col min="3" max="3" width="9" hidden="0" customWidth="1"/>
    <x:col min="4" max="4" width="15.630000114440918" hidden="0" customWidth="1"/>
    <x:col min="5" max="5" width="16.8799991607666" hidden="0" customWidth="1"/>
    <x:col min="6" max="6" width="16.8799991607666" hidden="0" customWidth="1"/>
    <x:col min="7" max="7" width="13.130000114440918" hidden="0" customWidth="1"/>
    <x:col min="8" max="8" width="15" hidden="0" customWidth="1"/>
    <x:col min="9" max="9" width="14.380000114440918" hidden="0" customWidth="1"/>
    <x:col min="10" max="10" width="14.380000114440918" hidden="0" customWidth="1"/>
  </x:cols>
  <x:sheetData>
    <x:row r="1" ht="44" customHeight="1">
      <x:c r="A1" s="35" t="str">
        <x:v>IT ARENA 센서 구성별 예산</x:v>
      </x:c>
      <x:c r="B1" s="3"/>
      <x:c r="C1" s="3"/>
      <x:c r="D1" s="3"/>
      <x:c r="E1" s="3"/>
      <x:c r="F1" s="3"/>
      <x:c r="G1"/>
      <x:c r="H1"/>
      <x:c r="I1"/>
      <x:c r="J1"/>
    </x:row>
    <x:row r="2" ht="44" customHeight="1">
      <x:c r="A2" s="36" t="str">
        <x:v>2026-09-05 · 단위 원 · 센서 단품 합계 · * B0385 품절 비교가 · † OV2710의 60fps 프로필 미확인</x:v>
      </x:c>
      <x:c r="B2" s="3"/>
      <x:c r="C2" s="3"/>
      <x:c r="D2" s="3"/>
      <x:c r="E2" s="3"/>
      <x:c r="F2" s="3"/>
      <x:c r="G2"/>
      <x:c r="H2"/>
      <x:c r="I2"/>
      <x:c r="J2"/>
    </x:row>
    <x:row r="3" ht="44" customHeight="1">
      <x:c r="A3" s="3"/>
      <x:c r="B3" s="3"/>
      <x:c r="C3" s="3"/>
      <x:c r="D3" s="3"/>
      <x:c r="E3" s="3"/>
      <x:c r="F3" s="3"/>
      <x:c r="G3"/>
      <x:c r="H3"/>
      <x:c r="I3"/>
      <x:c r="J3"/>
    </x:row>
    <x:row r="4" ht="40" customHeight="1">
      <x:c r="A4" s="38" t="str">
        <x:v>안</x:v>
      </x:c>
      <x:c r="B4" s="38" t="str">
        <x:v>센서 구성</x:v>
      </x:c>
      <x:c r="C4" s="38" t="str">
        <x:v>ToF 수량</x:v>
      </x:c>
      <x:c r="D4" s="38" t="str">
        <x:v>센서 합계</x:v>
      </x:c>
      <x:c r="E4" s="38" t="str">
        <x:v>차체 35만 합산</x:v>
      </x:c>
      <x:c r="F4" s="38" t="str">
        <x:v>차체 40만 합산</x:v>
      </x:c>
      <x:c r="G4"/>
      <x:c r="H4"/>
      <x:c r="I4"/>
      <x:c r="J4"/>
    </x:row>
    <x:row r="5" ht="44" customHeight="1">
      <x:c r="A5" s="41" t="str">
        <x:v>A</x:v>
      </x:c>
      <x:c r="B5" s="41" t="str">
        <x:v>보유 D435i + ToF 2</x:v>
      </x:c>
      <x:c r="C5" s="39" t="n">
        <x:v>2</x:v>
      </x:c>
      <x:c r="D5" s="44" t="n">
        <x:f>C5*'단가와 출처'!$B$5</x:f>
        <x:v>70400</x:v>
      </x:c>
      <x:c r="E5" s="45" t="n">
        <x:f>D5+'차체 견적 대조'!$F$27</x:f>
        <x:v>420400</x:v>
      </x:c>
      <x:c r="F5" s="45" t="n">
        <x:f>D5+'차체 견적 대조'!$F$28</x:f>
        <x:v>470400</x:v>
      </x:c>
      <x:c r="G5"/>
      <x:c r="H5"/>
      <x:c r="I5"/>
      <x:c r="J5"/>
    </x:row>
    <x:row r="6" ht="44" customHeight="1">
      <x:c r="A6" s="42" t="str">
        <x:v>B</x:v>
      </x:c>
      <x:c r="B6" s="42" t="str">
        <x:v>보유 D435i + ToF 4</x:v>
      </x:c>
      <x:c r="C6" s="39" t="n">
        <x:v>4</x:v>
      </x:c>
      <x:c r="D6" s="44" t="n">
        <x:f>C6*'단가와 출처'!$B$5</x:f>
        <x:v>140800</x:v>
      </x:c>
      <x:c r="E6" s="46" t="n">
        <x:f>D6+'차체 견적 대조'!$F$27</x:f>
        <x:v>490800</x:v>
      </x:c>
      <x:c r="F6" s="46" t="n">
        <x:f>D6+'차체 견적 대조'!$F$28</x:f>
        <x:v>540800</x:v>
      </x:c>
      <x:c r="G6"/>
      <x:c r="H6"/>
      <x:c r="I6"/>
      <x:c r="J6"/>
    </x:row>
    <x:row r="7" ht="44" customHeight="1">
      <x:c r="A7" s="41" t="str">
        <x:v>B+</x:v>
      </x:c>
      <x:c r="B7" s="41" t="str">
        <x:v>보유 D435i + ToF 5</x:v>
      </x:c>
      <x:c r="C7" s="39" t="n">
        <x:v>5</x:v>
      </x:c>
      <x:c r="D7" s="44" t="n">
        <x:f>C7*'단가와 출처'!$B$5</x:f>
        <x:v>176000</x:v>
      </x:c>
      <x:c r="E7" s="45" t="n">
        <x:f>D7+'차체 견적 대조'!$F$27</x:f>
        <x:v>526000</x:v>
      </x:c>
      <x:c r="F7" s="45" t="n">
        <x:f>D7+'차체 견적 대조'!$F$28</x:f>
        <x:v>576000</x:v>
      </x:c>
      <x:c r="G7"/>
      <x:c r="H7"/>
      <x:c r="I7"/>
      <x:c r="J7"/>
    </x:row>
    <x:row r="8" ht="44" customHeight="1">
      <x:c r="A8" s="42" t="str">
        <x:v>L0</x:v>
      </x:c>
      <x:c r="B8" s="42" t="str">
        <x:v>C1 + B0385* + ToF 1</x:v>
      </x:c>
      <x:c r="C8" s="39" t="n">
        <x:v>1</x:v>
      </x:c>
      <x:c r="D8" s="44" t="n">
        <x:f>'단가와 출처'!$B$6+'단가와 출처'!$B$12+C8*'단가와 출처'!$B$5</x:f>
        <x:v>230560</x:v>
      </x:c>
      <x:c r="E8" s="46" t="n">
        <x:f>D8+'차체 견적 대조'!$F$27</x:f>
        <x:v>580560</x:v>
      </x:c>
      <x:c r="F8" s="46" t="n">
        <x:f>D8+'차체 견적 대조'!$F$28</x:f>
        <x:v>630560</x:v>
      </x:c>
      <x:c r="G8"/>
      <x:c r="H8"/>
      <x:c r="I8"/>
      <x:c r="J8"/>
    </x:row>
    <x:row r="9" ht="44" customHeight="1">
      <x:c r="A9" s="41" t="str">
        <x:v>L1v</x:v>
      </x:c>
      <x:c r="B9" s="41" t="str">
        <x:v>C1 + OV2710† + ToF 2</x:v>
      </x:c>
      <x:c r="C9" s="39" t="n">
        <x:v>2</x:v>
      </x:c>
      <x:c r="D9" s="44" t="n">
        <x:f>'단가와 출처'!$B$6+'단가와 출처'!$B$22+C9*'단가와 출처'!$B$5</x:f>
        <x:v>232760</x:v>
      </x:c>
      <x:c r="E9" s="45" t="n">
        <x:f>D9+'차체 견적 대조'!$F$27</x:f>
        <x:v>582760</x:v>
      </x:c>
      <x:c r="F9" s="45" t="n">
        <x:f>D9+'차체 견적 대조'!$F$28</x:f>
        <x:v>632760</x:v>
      </x:c>
      <x:c r="G9"/>
      <x:c r="H9"/>
      <x:c r="I9"/>
      <x:c r="J9"/>
    </x:row>
    <x:row r="10" ht="44" customHeight="1">
      <x:c r="A10" s="42" t="str">
        <x:v>L1</x:v>
      </x:c>
      <x:c r="B10" s="42" t="str">
        <x:v>C1 + B0385* + ToF 2</x:v>
      </x:c>
      <x:c r="C10" s="39" t="n">
        <x:v>2</x:v>
      </x:c>
      <x:c r="D10" s="44" t="n">
        <x:f>'단가와 출처'!$B$6+'단가와 출처'!$B$12+C10*'단가와 출처'!$B$5</x:f>
        <x:v>265760</x:v>
      </x:c>
      <x:c r="E10" s="46" t="n">
        <x:f>D10+'차체 견적 대조'!$F$27</x:f>
        <x:v>615760</x:v>
      </x:c>
      <x:c r="F10" s="46" t="n">
        <x:f>D10+'차체 견적 대조'!$F$28</x:f>
        <x:v>665760</x:v>
      </x:c>
      <x:c r="G10"/>
      <x:c r="H10"/>
      <x:c r="I10"/>
      <x:c r="J10"/>
    </x:row>
    <x:row r="11" ht="44" customHeight="1">
      <x:c r="A11" s="41" t="str">
        <x:v>L2</x:v>
      </x:c>
      <x:c r="B11" s="41" t="str">
        <x:v>C1 + 보유 D435i + ToF 4</x:v>
      </x:c>
      <x:c r="C11" s="39" t="n">
        <x:v>4</x:v>
      </x:c>
      <x:c r="D11" s="44" t="n">
        <x:f>'단가와 출처'!$B$6+C11*'단가와 출처'!$B$5</x:f>
        <x:v>239800</x:v>
      </x:c>
      <x:c r="E11" s="45" t="n">
        <x:f>D11+'차체 견적 대조'!$F$27</x:f>
        <x:v>589800</x:v>
      </x:c>
      <x:c r="F11" s="45" t="n">
        <x:f>D11+'차체 견적 대조'!$F$28</x:f>
        <x:v>639800</x:v>
      </x:c>
      <x:c r="G11"/>
      <x:c r="H11"/>
      <x:c r="I11"/>
      <x:c r="J11"/>
    </x:row>
    <x:row r="12" ht="44" customHeight="1">
      <x:c r="A12" s="42" t="str">
        <x:v>S1</x:v>
      </x:c>
      <x:c r="B12" s="42" t="str">
        <x:v>OAK-D Lite FF + ToF 2</x:v>
      </x:c>
      <x:c r="C12" s="39" t="n">
        <x:v>2</x:v>
      </x:c>
      <x:c r="D12" s="44" t="n">
        <x:f>'단가와 출처'!$B$7+C12*'단가와 출처'!$B$5</x:f>
        <x:v>455301</x:v>
      </x:c>
      <x:c r="E12" s="46" t="n">
        <x:f>D12+'차체 견적 대조'!$F$27</x:f>
        <x:v>805301</x:v>
      </x:c>
      <x:c r="F12" s="46" t="n">
        <x:f>D12+'차체 견적 대조'!$F$28</x:f>
        <x:v>855301</x:v>
      </x:c>
      <x:c r="G12"/>
      <x:c r="H12"/>
      <x:c r="I12"/>
      <x:c r="J12"/>
    </x:row>
    <x:row r="13" ht="44" customHeight="1">
      <x:c r="A13" s="41" t="str">
        <x:v>S2</x:v>
      </x:c>
      <x:c r="B13" s="41" t="str">
        <x:v>OAK-D Lite FF + ToF 4</x:v>
      </x:c>
      <x:c r="C13" s="39" t="n">
        <x:v>4</x:v>
      </x:c>
      <x:c r="D13" s="44" t="n">
        <x:f>'단가와 출처'!$B$7+C13*'단가와 출처'!$B$5</x:f>
        <x:v>525701</x:v>
      </x:c>
      <x:c r="E13" s="45" t="n">
        <x:f>D13+'차체 견적 대조'!$F$27</x:f>
        <x:v>875701</x:v>
      </x:c>
      <x:c r="F13" s="45" t="n">
        <x:f>D13+'차체 견적 대조'!$F$28</x:f>
        <x:v>925701</x:v>
      </x:c>
      <x:c r="G13"/>
      <x:c r="H13"/>
      <x:c r="I13"/>
      <x:c r="J13"/>
    </x:row>
    <x:row r="14" ht="44" customHeight="1">
      <x:c r="A14" s="42" t="str">
        <x:v>S3</x:v>
      </x:c>
      <x:c r="B14" s="42" t="str">
        <x:v>Gemini 335 + ToF 4</x:v>
      </x:c>
      <x:c r="C14" s="39" t="n">
        <x:v>4</x:v>
      </x:c>
      <x:c r="D14" s="44" t="n">
        <x:f>'단가와 출처'!$B$8+C14*'단가와 출처'!$B$5</x:f>
        <x:v>646800</x:v>
      </x:c>
      <x:c r="E14" s="46" t="n">
        <x:f>D14+'차체 견적 대조'!$F$27</x:f>
        <x:v>996800</x:v>
      </x:c>
      <x:c r="F14" s="46" t="n">
        <x:f>D14+'차체 견적 대조'!$F$28</x:f>
        <x:v>1046800</x:v>
      </x:c>
      <x:c r="G14"/>
      <x:c r="H14"/>
      <x:c r="I14"/>
      <x:c r="J14"/>
    </x:row>
    <x:row r="15" ht="44" customHeight="1">
      <x:c r="A15" s="41" t="str">
        <x:v>S4</x:v>
      </x:c>
      <x:c r="B15" s="41" t="str">
        <x:v>신규 D435i + ToF 4</x:v>
      </x:c>
      <x:c r="C15" s="39" t="n">
        <x:v>4</x:v>
      </x:c>
      <x:c r="D15" s="44" t="n">
        <x:f>'단가와 출처'!$B$9+C15*'단가와 출처'!$B$5</x:f>
        <x:v>703800</x:v>
      </x:c>
      <x:c r="E15" s="45" t="n">
        <x:f>D15+'차체 견적 대조'!$F$27</x:f>
        <x:v>1053800</x:v>
      </x:c>
      <x:c r="F15" s="45" t="n">
        <x:f>D15+'차체 견적 대조'!$F$28</x:f>
        <x:v>1103800</x:v>
      </x:c>
      <x:c r="G15"/>
      <x:c r="H15"/>
      <x:c r="I15"/>
      <x:c r="J15"/>
    </x:row>
    <x:row r="16" ht="44" customHeight="1">
      <x:c r="A16" s="42" t="str">
        <x:v>S5</x:v>
      </x:c>
      <x:c r="B16" s="42" t="str">
        <x:v>D436 + ToF 4</x:v>
      </x:c>
      <x:c r="C16" s="39" t="n">
        <x:v>4</x:v>
      </x:c>
      <x:c r="D16" s="44" t="n">
        <x:f>'단가와 출처'!$B$10+C16*'단가와 출처'!$B$5</x:f>
        <x:v>737800</x:v>
      </x:c>
      <x:c r="E16" s="46" t="n">
        <x:f>D16+'차체 견적 대조'!$F$27</x:f>
        <x:v>1087800</x:v>
      </x:c>
      <x:c r="F16" s="46" t="n">
        <x:f>D16+'차체 견적 대조'!$F$28</x:f>
        <x:v>1137800</x:v>
      </x:c>
      <x:c r="G16"/>
      <x:c r="H16"/>
      <x:c r="I16"/>
      <x:c r="J16"/>
    </x:row>
    <x:row r="17" ht="44" customHeight="1">
      <x:c r="A17" s="41" t="str">
        <x:v>L3v</x:v>
      </x:c>
      <x:c r="B17" s="41" t="str">
        <x:v>S3 20 Hz + OV2710† + ToF 2</x:v>
      </x:c>
      <x:c r="C17" s="39" t="n">
        <x:v>2</x:v>
      </x:c>
      <x:c r="D17" s="44" t="n">
        <x:f>'단가와 출처'!$B$11+'단가와 출처'!$B$22+C17*'단가와 출처'!$B$5</x:f>
        <x:v>872960</x:v>
      </x:c>
      <x:c r="E17" s="45" t="n">
        <x:f>D17+'차체 견적 대조'!$F$27</x:f>
        <x:v>1222960</x:v>
      </x:c>
      <x:c r="F17" s="45" t="n">
        <x:f>D17+'차체 견적 대조'!$F$28</x:f>
        <x:v>1272960</x:v>
      </x:c>
      <x:c r="G17"/>
      <x:c r="H17"/>
      <x:c r="I17"/>
      <x:c r="J17"/>
    </x:row>
    <x:row r="18" ht="44" customHeight="1">
      <x:c r="A18" s="42" t="str">
        <x:v>L3</x:v>
      </x:c>
      <x:c r="B18" s="42" t="str">
        <x:v>S3 20 Hz + B0385* + ToF 2</x:v>
      </x:c>
      <x:c r="C18" s="39" t="n">
        <x:v>2</x:v>
      </x:c>
      <x:c r="D18" s="44" t="n">
        <x:f>'단가와 출처'!$B$11+'단가와 출처'!$B$12+C18*'단가와 출처'!$B$5</x:f>
        <x:v>905960</x:v>
      </x:c>
      <x:c r="E18" s="46" t="n">
        <x:f>D18+'차체 견적 대조'!$F$27</x:f>
        <x:v>1255960</x:v>
      </x:c>
      <x:c r="F18" s="46" t="n">
        <x:f>D18+'차체 견적 대조'!$F$28</x:f>
        <x:v>1305960</x:v>
      </x:c>
      <x:c r="G18"/>
      <x:c r="H18"/>
      <x:c r="I18"/>
      <x:c r="J18"/>
    </x:row>
    <x:row r="19" ht="44" customHeight="1">
      <x:c r="A19" s="41" t="str">
        <x:v>H</x:v>
      </x:c>
      <x:c r="B19" s="41" t="str">
        <x:v>D436 + C1 + ToF 5</x:v>
      </x:c>
      <x:c r="C19" s="39" t="n">
        <x:v>5</x:v>
      </x:c>
      <x:c r="D19" s="44" t="n">
        <x:f>'단가와 출처'!$B$10+'단가와 출처'!$B$6+C19*'단가와 출처'!$B$5</x:f>
        <x:v>872000</x:v>
      </x:c>
      <x:c r="E19" s="45" t="n">
        <x:f>D19+'차체 견적 대조'!$F$27</x:f>
        <x:v>1222000</x:v>
      </x:c>
      <x:c r="F19" s="45" t="n">
        <x:f>D19+'차체 견적 대조'!$F$28</x:f>
        <x:v>1272000</x:v>
      </x:c>
      <x:c r="G19"/>
      <x:c r="H19"/>
      <x:c r="I19"/>
      <x:c r="J19"/>
    </x:row>
    <x:row r="20" ht="57" customHeight="1">
      <x:c r="A20" s="3" t="str">
        <x:v>구매비 범위</x:v>
      </x:c>
      <x:c r="B20" s="3" t="str">
        <x:v>센서 단가×수량만 합산합니다. 보유 D435i의 신규 구매비는 0원이며 규정 평가액은 미정입니다.</x:v>
      </x:c>
      <x:c r="C20" s="3"/>
      <x:c r="D20" s="3"/>
      <x:c r="E20" s="3"/>
      <x:c r="F20" s="3"/>
      <x:c r="G20"/>
      <x:c r="H20"/>
      <x:c r="I20"/>
      <x:c r="J20"/>
    </x:row>
    <x:row r="21" ht="57" customHeight="1">
      <x:c r="A21" s="3" t="str">
        <x:v>국내 저가 RGB</x:v>
      </x:c>
      <x:c r="B21" s="3" t="str">
        <x:v>† OV2710 VLT-CAM014는 디바이스마트 63,360원(VAT 포함). 최대120fps 표기만 있어 720p60fps·코덱 조건은 확인 필요합니다.</x:v>
      </x:c>
      <x:c r="C21" s="3"/>
      <x:c r="D21" s="3"/>
      <x:c r="E21" s="3"/>
      <x:c r="F21" s="3"/>
      <x:c r="G21"/>
      <x:c r="H21"/>
      <x:c r="I21"/>
      <x:c r="J21"/>
    </x:row>
    <x:row r="22" ht="57" customHeight="1">
      <x:c r="A22" s="3" t="str">
        <x:v>B0385 비교</x:v>
      </x:c>
      <x:c r="B22" s="3" t="str">
        <x:v>* 96,360원은 국내 품절 비교가입니다. 사용자120fps 실사용 경험과 당시 프로필 미확인, 제조사 문서100fps를 구분합니다.</x:v>
      </x:c>
      <x:c r="C22" s="3"/>
      <x:c r="D22" s="3"/>
      <x:c r="E22" s="3"/>
      <x:c r="F22" s="3"/>
      <x:c r="G22"/>
      <x:c r="H22"/>
      <x:c r="I22"/>
      <x:c r="J22"/>
    </x:row>
    <x:row r="23" ht="57" customHeight="1">
      <x:c r="A23" s="3" t="str">
        <x:v>세금·배송</x:v>
      </x:c>
      <x:c r="B23" s="3" t="str">
        <x:v>D435i/D436 VAT 여부는 미확정입니다. VAT 별도라면 각각 56,300/59,700원 증가합니다. 배송비는 합계에 포함하지 않습니다.</x:v>
      </x:c>
      <x:c r="C23" s="3"/>
      <x:c r="D23" s="3"/>
      <x:c r="E23" s="3"/>
      <x:c r="F23" s="3"/>
      <x:c r="G23"/>
      <x:c r="H23"/>
      <x:c r="I23"/>
      <x:c r="J23"/>
    </x:row>
    <x:row r="24" ht="57" customHeight="1">
      <x:c r="A24" s="3" t="str">
        <x:v>MCU</x:v>
      </x:c>
      <x:c r="B24" s="3" t="str">
        <x:v>ESP32-S3 잠정 후보입니다. 정확한 개발보드·가격·담당 예산은 미정이며 센서 합계에서 제외합니다.</x:v>
      </x:c>
      <x:c r="C24" s="3"/>
      <x:c r="D24" s="3"/>
      <x:c r="E24" s="3"/>
      <x:c r="F24" s="3"/>
      <x:c r="G24"/>
      <x:c r="H24"/>
      <x:c r="I24"/>
      <x:c r="J24"/>
    </x:row>
    <x:row r="25" ht="57" customHeight="1">
      <x:c r="A25" s="3" t="str">
        <x:v>관측·성능</x:v>
      </x:c>
      <x:c r="B25" s="3" t="str">
        <x:v>ToF 1~2개는 관측 범위를 줄인 안이며 4개 배치에도 정후방 사각이 있습니다. 표시 fps·Hz는 고속 인식·제동 보증이 아닙니다.</x:v>
      </x:c>
      <x:c r="C25" s="3"/>
      <x:c r="D25" s="3"/>
      <x:c r="E25" s="3"/>
      <x:c r="F25" s="3"/>
      <x:c r="G25"/>
      <x:c r="H25"/>
      <x:c r="I25"/>
      <x:c r="J25"/>
    </x:row>
    <x:row r="26" ht="57" customHeight="1">
      <x:c r="A26" s="3" t="str">
        <x:v>하드웨어 가정</x:v>
      </x:c>
      <x:c r="B26" s="3" t="str">
        <x:v>차체 35/40만원은 확정 견적이 아닙니다. 모터·ESC·엔코더·공통 제어부 포함 범위를 하드웨어팀과 확인합니다.</x:v>
      </x:c>
      <x:c r="C26" s="3"/>
      <x:c r="D26" s="3"/>
      <x:c r="E26" s="3"/>
      <x:c r="F26" s="3"/>
      <x:c r="G26"/>
      <x:c r="H26"/>
      <x:c r="I26"/>
      <x:c r="J26"/>
    </x:row>
    <x:row r="27" ht="57" customHeight="1">
      <x:c r="A27" s="3" t="str">
        <x:v>사용법</x:v>
      </x:c>
      <x:c r="B27" s="3" t="str">
        <x:v>노란 ToF 수량·단가 입력을 바꾸면 합계가 갱신됩니다. 배선·브래킷·예비비는 산정하지 않습니다. 카메라 교체 시 품명·조건도 함께 수정합니다.</x:v>
      </x:c>
      <x:c r="C27" s="3"/>
      <x:c r="D27" s="3"/>
      <x:c r="E27" s="3"/>
      <x:c r="F27" s="3"/>
      <x:c r="G27"/>
      <x:c r="H27"/>
      <x:c r="I27"/>
      <x:c r="J27"/>
    </x:row>
    <x:row r="28" ht="34" customHeight="1">
      <x:c r="A28"/>
      <x:c r="B28"/>
      <x:c r="C28"/>
      <x:c r="D28"/>
      <x:c r="E28"/>
      <x:c r="F28"/>
      <x:c r="G28"/>
      <x:c r="H28"/>
      <x:c r="I28"/>
      <x:c r="J28"/>
    </x:row>
  </x:sheetData>
  <x:mergeCells>
    <x:mergeCell ref="A1:F1"/>
    <x:mergeCell ref="A2:F2"/>
    <x:mergeCell ref="B20:F20"/>
    <x:mergeCell ref="B21:F21"/>
    <x:mergeCell ref="B22:F22"/>
    <x:mergeCell ref="B23:F23"/>
    <x:mergeCell ref="B24:F24"/>
    <x:mergeCell ref="B25:F25"/>
    <x:mergeCell ref="B26:F26"/>
    <x:mergeCell ref="B27:F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4.380000114440918" hidden="0" customWidth="1"/>
    <x:col min="3" max="3" width="21.8799991607666" hidden="0" customWidth="1"/>
    <x:col min="4" max="4" width="53.75" hidden="0" customWidth="1"/>
    <x:col min="5" max="5" width="44.380001068115234" hidden="0" customWidth="1"/>
  </x:cols>
  <x:sheetData>
    <x:row r="1" ht="34" customHeight="1">
      <x:c r="A1" s="5" t="str">
        <x:v>센서 단가와 구매 출처</x:v>
      </x:c>
      <x:c r="B1" s="3"/>
      <x:c r="C1" s="3"/>
      <x:c r="D1" s="3"/>
      <x:c r="E1" s="3"/>
    </x:row>
    <x:row r="2" ht="34" customHeight="1">
      <x:c r="A2" s="7" t="str">
        <x:v>2026-09-05 실제 공개 상품 페이지 대조 · 최저가 보장 및 판매처 확정 아님</x:v>
      </x:c>
      <x:c r="B2" s="3"/>
      <x:c r="C2" s="3"/>
      <x:c r="D2" s="3"/>
      <x:c r="E2" s="3"/>
    </x:row>
    <x:row r="3" ht="34" customHeight="1">
      <x:c r="A3" s="3"/>
      <x:c r="B3" s="3"/>
      <x:c r="C3" s="3"/>
      <x:c r="D3" s="3"/>
      <x:c r="E3" s="3"/>
    </x:row>
    <x:row r="4" ht="38" customHeight="1">
      <x:c r="A4" s="9" t="str">
        <x:v>품목</x:v>
      </x:c>
      <x:c r="B4" s="9" t="str">
        <x:v>단가 (원)</x:v>
      </x:c>
      <x:c r="C4" s="9" t="str">
        <x:v>가격 구분</x:v>
      </x:c>
      <x:c r="D4" s="9" t="str">
        <x:v>구매 링크</x:v>
      </x:c>
      <x:c r="E4" s="9" t="str">
        <x:v>확인할 조건</x:v>
      </x:c>
    </x:row>
    <x:row r="5" ht="72" customHeight="1">
      <x:c r="A5" s="3" t="str">
        <x:v>VL53L7CX Pololu #3418</x:v>
      </x:c>
      <x:c r="B5" s="11" t="n">
        <x:v>35200</x:v>
      </x:c>
      <x:c r="C5" s="3" t="str">
        <x:v>VAT 포함</x:v>
      </x:c>
      <x:c r="D5" s="3" t="str">
        <x:v>https://www.devicemart.co.kr/goods/view?no=15145342</x:v>
      </x:c>
      <x:c r="E5" s="3" t="str">
        <x:v>센서 IC가 아닌 전압조정·레벨변환 포함 캐리어. 해외 준비기간 약 1주 표기.</x:v>
      </x:c>
    </x:row>
    <x:row r="6" ht="72" customHeight="1">
      <x:c r="A6" s="3" t="str">
        <x:v>RPLIDAR C1</x:v>
      </x:c>
      <x:c r="B6" s="11" t="n">
        <x:v>99000</x:v>
      </x:c>
      <x:c r="C6" s="3" t="str">
        <x:v>VAT 포함</x:v>
      </x:c>
      <x:c r="D6" s="3" t="str">
        <x:v>https://www.devicemart.co.kr/goods/view?no=15274068</x:v>
      </x:c>
      <x:c r="E6" s="3" t="str">
        <x:v>10 Hz 대표값. USB 변환기·케이블 동봉 여부는 주문 전 확인.</x:v>
      </x:c>
    </x:row>
    <x:row r="7" ht="72" customHeight="1">
      <x:c r="A7" s="3" t="str">
        <x:v>OAK-D Lite FF</x:v>
      </x:c>
      <x:c r="B7" s="11" t="n">
        <x:v>384901</x:v>
      </x:c>
      <x:c r="C7" s="3" t="str">
        <x:v>VAT 포함</x:v>
      </x:c>
      <x:c r="D7" s="3" t="str">
        <x:v>https://www.devicemart.co.kr/goods/view?no=15694056</x:v>
      </x:c>
      <x:c r="E7" s="3" t="str">
        <x:v>FF 기준. 검색 캐시 391,270원과 다름. AF도 실제 페이지 384,901원으로 저가 이점 없음.</x:v>
      </x:c>
    </x:row>
    <x:row r="8" ht="72" customHeight="1">
      <x:c r="A8" s="3" t="str">
        <x:v>Orbbec Gemini 335</x:v>
      </x:c>
      <x:c r="B8" s="11" t="n">
        <x:v>506000</x:v>
      </x:c>
      <x:c r="C8" s="3" t="str">
        <x:v>VAT 포함</x:v>
      </x:c>
      <x:c r="D8" s="3" t="str">
        <x:v>https://www.icbanq.com/P016230029</x:v>
      </x:c>
      <x:c r="E8" s="3" t="str">
        <x:v>460,000원 + VAT. 검색 캐시 440,000원을 최종 계산에서 제외.</x:v>
      </x:c>
    </x:row>
    <x:row r="9" ht="72" customHeight="1">
      <x:c r="A9" s="3" t="str">
        <x:v>RealSense D435i 신규</x:v>
      </x:c>
      <x:c r="B9" s="11" t="n">
        <x:v>563000</x:v>
      </x:c>
      <x:c r="C9" s="3" t="str">
        <x:v>판매 표시가</x:v>
      </x:c>
      <x:c r="D9" s="3" t="str">
        <x:v>https://reallystore.net/goods/view?no=363</x:v>
      </x:c>
      <x:c r="E9" s="3" t="str">
        <x:v>배송 3,000원 별도. VAT 포함 여부는 견적서로 재확인. 보유 장비의 규정 평가액은 미정.</x:v>
      </x:c>
    </x:row>
    <x:row r="10" ht="72" customHeight="1">
      <x:c r="A10" s="3" t="str">
        <x:v>RealSense D436 신규</x:v>
      </x:c>
      <x:c r="B10" s="11" t="n">
        <x:v>597000</x:v>
      </x:c>
      <x:c r="C10" s="3" t="str">
        <x:v>판매 표시가</x:v>
      </x:c>
      <x:c r="D10" s="3" t="str">
        <x:v>https://reallystore.net/goods/view?no=802</x:v>
      </x:c>
      <x:c r="E10" s="3" t="str">
        <x:v>배송 3,000원 별도. VAT 포함 여부 재확인. 할인 전 656,700원 표시.</x:v>
      </x:c>
    </x:row>
    <x:row r="11" ht="72" customHeight="1">
      <x:c r="A11" s="3" t="str">
        <x:v>RPLIDAR S3</x:v>
      </x:c>
      <x:c r="B11" s="11" t="n">
        <x:v>739200</x:v>
      </x:c>
      <x:c r="C11" s="3" t="str">
        <x:v>VAT 포함</x:v>
      </x:c>
      <x:c r="D11" s="3" t="str">
        <x:v>https://www.devicemart.co.kr/goods/view?no=15267468</x:v>
      </x:c>
      <x:c r="E11" s="3" t="str">
        <x:v>672,000원 + VAT. 10~20 Hz 지원, 대표 10 Hz. 20 Hz 설정·실제 전달률 및 USB 구성품 확인.</x:v>
      </x:c>
    </x:row>
    <x:row r="12" ht="72" customHeight="1">
      <x:c r="A12" s="3" t="str">
        <x:v>Arducam B0385 / OV9782</x:v>
      </x:c>
      <x:c r="B12" s="11" t="n">
        <x:v>96360</x:v>
      </x:c>
      <x:c r="C12" s="3" t="str">
        <x:v>VAT 포함 / 품절</x:v>
      </x:c>
      <x:c r="D12" s="3" t="str">
        <x:v>https://www.devicemart.co.kr/goods/view?no=14900621</x:v>
      </x:c>
      <x:c r="E12" s="3" t="str">
        <x:v>사용자가 직접120fps 동작 확인. 당시 해상도·코덱은 미확인. 문서100fps(MJPEG)/10fps(YUY2)와 별도 기록. 국내 품절 비교 단가.</x:v>
      </x:c>
    </x:row>
    <x:row r="13" ht="34" customHeight="1">
      <x:c r="A13" s="3"/>
      <x:c r="B13" s="3"/>
      <x:c r="C13" s="3"/>
      <x:c r="D13" s="3"/>
      <x:c r="E13" s="3"/>
    </x:row>
    <x:row r="14" ht="65" customHeight="1">
      <x:c r="A14" s="3" t="str">
        <x:v>산정 원칙</x:v>
      </x:c>
      <x:c r="B14" s="3" t="str">
        <x:v>실제 표시가</x:v>
      </x:c>
      <x:c r="C14" s="3" t="str">
        <x:v>센서 단품 합계 / 배송 별도</x:v>
      </x:c>
      <x:c r="D14" s="3" t="str">
        <x:v>실시간 가격을 검색 캐시보다 우선</x:v>
      </x:c>
      <x:c r="E14" s="3" t="str">
        <x:v>결제·재고 확보·업체 견적 요청은 수행하지 않음</x:v>
      </x:c>
    </x:row>
    <x:row r="15" ht="34" customHeight="1">
      <x:c r="A15" s="3"/>
      <x:c r="B15" s="3"/>
      <x:c r="C15" s="3"/>
      <x:c r="D15" s="3"/>
      <x:c r="E15" s="3"/>
    </x:row>
    <x:row r="16" ht="65" customHeight="1">
      <x:c r="A16" s="3" t="str">
        <x:v>공통 지원품은 별도</x:v>
      </x:c>
      <x:c r="B16" s="3"/>
      <x:c r="C16" s="3"/>
      <x:c r="D16" s="3" t="str">
        <x:v>https://github.com/MOSW626/istech-it-arena/blob/main/MANUAL.md</x:v>
      </x:c>
      <x:c r="E16" s="3" t="str">
        <x:v>Jetson·배터리·ST3215-HS 2개·PDB 2개를 중복 구매비에 넣지 않음.</x:v>
      </x:c>
    </x:row>
    <x:row r="17" ht="34" customHeight="1">
      <x:c r="A17" s="3"/>
      <x:c r="B17" s="3"/>
      <x:c r="C17" s="3"/>
      <x:c r="D17" s="3"/>
      <x:c r="E17" s="3"/>
    </x:row>
    <x:row r="18" ht="88" customHeight="1">
      <x:c r="A18" s="3" t="str">
        <x:v>Arducam B020101 / IMX291</x:v>
      </x:c>
      <x:c r="B18" s="10" t="n">
        <x:v>104500</x:v>
      </x:c>
      <x:c r="C18" s="3" t="str">
        <x:v>VAT 포함 / 대안</x:v>
      </x:c>
      <x:c r="D18" s="3" t="str">
        <x:v>https://www.devicemart.co.kr/goods/view?no=14900640</x:v>
      </x:c>
      <x:c r="E18" s="3" t="str">
        <x:v>1080p 30fps, UVC, 수동 초점·광각. 해외 준비 2주 표기. B0385와 동등한 고속 대체품 아님.</x:v>
      </x:c>
    </x:row>
    <x:row r="19" ht="88" customHeight="1">
      <x:c r="A19" s="3" t="str">
        <x:v>Arducam B0495 / AR0234</x:v>
      </x:c>
      <x:c r="B19" s="3"/>
      <x:c r="C19" s="3" t="str">
        <x:v>국내 원화 미견적</x:v>
      </x:c>
      <x:c r="D19" s="3" t="str">
        <x:v>https://blog.arducam.com/downloads/datasheet/B0495_AR0234_Global_Shutter_USB3.0_Camera_Module_Datasheet.pdf</x:v>
      </x:c>
      <x:c r="E19" s="3" t="str">
        <x:v>상위 후보만 유지. USB3 UVC·컬러 글로벌 셔터·1920×1200 50fps(YUY2). 기본 초점 2m~무한대 재조정 필요. 합계 미반영.</x:v>
      </x:c>
    </x:row>
    <x:row r="20" ht="88" customHeight="1">
      <x:c r="A20" s="3" t="str">
        <x:v>MCU 잠정 후보 ESP32-S3</x:v>
      </x:c>
      <x:c r="B20" s="3"/>
      <x:c r="C20" s="3" t="str">
        <x:v>모델·가격·분담 미정</x:v>
      </x:c>
      <x:c r="D20" s="3" t="str">
        <x:v>사용자 2026-09-05 후속 메시지</x:v>
      </x:c>
      <x:c r="E20" s="3" t="str">
        <x:v>정확한 개발보드 미선정. 센서 합계 제외는 무료/공식 예산 면제를 뜻하지 않음. 카메라는 Jetson USB 연결을 기준으로 검토.</x:v>
      </x:c>
    </x:row>
    <x:row r="21">
      <x:c r="A21" s="3"/>
      <x:c r="B21" s="3"/>
      <x:c r="C21" s="3"/>
      <x:c r="D21" s="3"/>
      <x:c r="E21" s="3"/>
    </x:row>
    <x:row r="22" ht="106" customHeight="1">
      <x:c r="A22" s="3" t="str">
        <x:v>Voltly OV2710 / VLT-CAM014</x:v>
      </x:c>
      <x:c r="B22" s="40" t="n">
        <x:v>63360</x:v>
      </x:c>
      <x:c r="C22" s="3" t="str">
        <x:v>VAT 포함 / 국내 판매</x:v>
      </x:c>
      <x:c r="D22" s="3" t="str">
        <x:v>https://www.devicemart.co.kr/goods/view?no=15961405</x:v>
      </x:c>
      <x:c r="E22" s="3" t="str">
        <x:v>57,600원+VAT. 구매 버튼·준비 3~4일 표시, 재고 수량 미확인. USB·MJPEG/YUY2·최대120fps 표기. 해상도별 fps 미기재로 720p60fps는 확인 필요.</x:v>
      </x:c>
    </x:row>
    <x:row r="23" ht="88" customHeight="1">
      <x:c r="A23"/>
      <x:c r="B23"/>
      <x:c r="C23"/>
      <x:c r="D23"/>
      <x:c r="E23"/>
    </x:row>
    <x:row r="24" ht="88" customHeight="1">
      <x:c r="A24"/>
      <x:c r="B24"/>
      <x:c r="C24"/>
      <x:c r="D24"/>
      <x:c r="E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.25" hidden="0" customWidth="1"/>
    <x:col min="3" max="3" width="10.630000114440918" hidden="0" customWidth="1"/>
    <x:col min="4" max="4" width="15" hidden="0" customWidth="1"/>
    <x:col min="5" max="5" width="11.25" hidden="0" customWidth="1"/>
    <x:col min="6" max="6" width="18.1299991607666" hidden="0" customWidth="1"/>
    <x:col min="7" max="7" width="57.5" hidden="0" customWidth="1"/>
  </x:cols>
  <x:sheetData>
    <x:row r="1" ht="34" customHeight="1">
      <x:c r="A1" s="5" t="str">
        <x:v>하드웨어팀 차체 견적 대조</x:v>
      </x:c>
      <x:c r="B1" s="3"/>
      <x:c r="C1" s="3"/>
      <x:c r="D1" s="3"/>
      <x:c r="E1" s="3"/>
      <x:c r="F1" s="3"/>
      <x:c r="G1" s="3"/>
    </x:row>
    <x:row r="2" ht="34" customHeight="1">
      <x:c r="A2" s="7" t="str">
        <x:v>원본 파일은 변경하지 않았습니다. 가격 재검색 없이 첨부 단가×수량을 재계산했습니다.</x:v>
      </x:c>
      <x:c r="B2" s="3"/>
      <x:c r="C2" s="3"/>
      <x:c r="D2" s="3"/>
      <x:c r="E2" s="3"/>
      <x:c r="F2" s="3"/>
      <x:c r="G2" s="3"/>
    </x:row>
    <x:row r="3" ht="34" customHeight="1">
      <x:c r="A3" s="3"/>
      <x:c r="B3" s="3"/>
      <x:c r="C3" s="3"/>
      <x:c r="D3" s="3"/>
      <x:c r="E3" s="3"/>
      <x:c r="F3" s="3"/>
      <x:c r="G3" s="3"/>
    </x:row>
    <x:row r="4" ht="38" customHeight="1">
      <x:c r="A4" s="9" t="str">
        <x:v>품목</x:v>
      </x:c>
      <x:c r="B4" s="9" t="str">
        <x:v>단가 (원)</x:v>
      </x:c>
      <x:c r="C4" s="9" t="str">
        <x:v>수량</x:v>
      </x:c>
      <x:c r="D4" s="9" t="str">
        <x:v>금액 (원)</x:v>
      </x:c>
      <x:c r="E4" s="9" t="str">
        <x:v>구분</x:v>
      </x:c>
      <x:c r="F4" s="9" t="str">
        <x:v>원본 행</x:v>
      </x:c>
      <x:c r="G4" s="9" t="str">
        <x:v>원본 구매 링크</x:v>
      </x:c>
    </x:row>
    <x:row r="5" ht="43" customHeight="1">
      <x:c r="A5" s="3" t="str">
        <x:v>캠버&amp;토링크 세트=위시본</x:v>
      </x:c>
      <x:c r="B5" s="10" t="n">
        <x:v>4500</x:v>
      </x:c>
      <x:c r="C5" s="12" t="n">
        <x:v>1</x:v>
      </x:c>
      <x:c r="D5" s="10" t="n">
        <x:f>B5*C5</x:f>
        <x:v>4500</x:v>
      </x:c>
      <x:c r="E5" s="3" t="str">
        <x:v>필수</x:v>
      </x:c>
      <x:c r="F5" s="3" t="str">
        <x:v>Sheet1 행 3</x:v>
      </x:c>
      <x:c r="G5" s="3" t="str">
        <x:v>https://m.rc9.co.kr/product/ax7636-latrax-camber-toe-link-set-teton/49801/category/1147/display/1/</x:v>
      </x:c>
    </x:row>
    <x:row r="6" ht="43" customHeight="1">
      <x:c r="A6" s="3" t="str">
        <x:v>프론트/리어 서스펜션 암</x:v>
      </x:c>
      <x:c r="B6" s="10" t="n">
        <x:v>7650</x:v>
      </x:c>
      <x:c r="C6" s="12" t="n">
        <x:v>2</x:v>
      </x:c>
      <x:c r="D6" s="10" t="n">
        <x:f>B6*C6</x:f>
        <x:v>15300</x:v>
      </x:c>
      <x:c r="E6" s="3" t="str">
        <x:v>필수</x:v>
      </x:c>
      <x:c r="F6" s="3" t="str">
        <x:v>Sheet1 행 4</x:v>
      </x:c>
      <x:c r="G6" s="3" t="str">
        <x:v>https://m.rc9.co.kr/product/ax7630-latrax-frontrear-suspension-arm-2-teton/49803/category/1147/display/1/</x:v>
      </x:c>
    </x:row>
    <x:row r="7" ht="43" customHeight="1">
      <x:c r="A7" s="3" t="str">
        <x:v>프론트/리어 서스펜션 핀 세트</x:v>
      </x:c>
      <x:c r="B7" s="10" t="n">
        <x:v>8550</x:v>
      </x:c>
      <x:c r="C7" s="12" t="n">
        <x:v>1</x:v>
      </x:c>
      <x:c r="D7" s="10" t="n">
        <x:f>B7*C7</x:f>
        <x:v>8550</x:v>
      </x:c>
      <x:c r="E7" s="3" t="str">
        <x:v>필수</x:v>
      </x:c>
      <x:c r="F7" s="3" t="str">
        <x:v>Sheet1 행 5</x:v>
      </x:c>
      <x:c r="G7" s="3" t="str">
        <x:v>https://m.rc9.co.kr/product/ax7533-latrax-front-rear-suspension-pin-set-rally-teton/49940/category/1147/display/1/</x:v>
      </x:c>
    </x:row>
    <x:row r="8" ht="43" customHeight="1">
      <x:c r="A8" s="3" t="str">
        <x:v>스티어링크</x:v>
      </x:c>
      <x:c r="B8" s="10" t="n">
        <x:v>12150</x:v>
      </x:c>
      <x:c r="C8" s="12" t="n">
        <x:v>1</x:v>
      </x:c>
      <x:c r="D8" s="10" t="n">
        <x:f>B8*C8</x:f>
        <x:v>12150</x:v>
      </x:c>
      <x:c r="E8" s="3" t="str">
        <x:v>필수</x:v>
      </x:c>
      <x:c r="F8" s="3" t="str">
        <x:v>Sheet1 행 6</x:v>
      </x:c>
      <x:c r="G8" s="3" t="str">
        <x:v>https://m.rc9.co.kr/product/ax7538x-latrax-steering-bellcrank-set-teton/49934/category/1147/display/1/</x:v>
      </x:c>
    </x:row>
    <x:row r="9" ht="43" customHeight="1">
      <x:c r="A9" s="3" t="str">
        <x:v>프론트/리어 드라이브 샤프트</x:v>
      </x:c>
      <x:c r="B9" s="10" t="n">
        <x:v>7650</x:v>
      </x:c>
      <x:c r="C9" s="12" t="n">
        <x:v>2</x:v>
      </x:c>
      <x:c r="D9" s="10" t="n">
        <x:f>B9*C9</x:f>
        <x:v>15300</x:v>
      </x:c>
      <x:c r="E9" s="3" t="str">
        <x:v>필수</x:v>
      </x:c>
      <x:c r="F9" s="3" t="str">
        <x:v>Sheet1 행 7</x:v>
      </x:c>
      <x:c r="G9" s="3" t="str">
        <x:v>https://m.rc9.co.kr/product/ax7650-latrax-frontrear-assembled-driveshaft-2teton/49796/category/1147/display/1/</x:v>
      </x:c>
    </x:row>
    <x:row r="10" ht="43" customHeight="1">
      <x:c r="A10" s="3" t="str">
        <x:v>캐스터&amp;스티어링 블록 세트</x:v>
      </x:c>
      <x:c r="B10" s="10" t="n">
        <x:v>7650</x:v>
      </x:c>
      <x:c r="C10" s="12" t="n">
        <x:v>1</x:v>
      </x:c>
      <x:c r="D10" s="10" t="n">
        <x:f>B10*C10</x:f>
        <x:v>7650</x:v>
      </x:c>
      <x:c r="E10" s="3" t="str">
        <x:v>필수</x:v>
      </x:c>
      <x:c r="F10" s="3" t="str">
        <x:v>Sheet1 행 8</x:v>
      </x:c>
      <x:c r="G10" s="3" t="str">
        <x:v>https://m.rc9.co.kr/product/ax7532-latrax-caster-steering-block-set-rally-teton/49941/category/1147/display/1/</x:v>
      </x:c>
    </x:row>
    <x:row r="11" ht="43" customHeight="1">
      <x:c r="A11" s="3" t="str">
        <x:v>볼스크류 세트</x:v>
      </x:c>
      <x:c r="B11" s="10" t="n">
        <x:v>9900</x:v>
      </x:c>
      <x:c r="C11" s="12" t="n">
        <x:v>2</x:v>
      </x:c>
      <x:c r="D11" s="10" t="n">
        <x:f>B11*C11</x:f>
        <x:v>19800</x:v>
      </x:c>
      <x:c r="E11" s="3" t="str">
        <x:v>필수</x:v>
      </x:c>
      <x:c r="F11" s="3" t="str">
        <x:v>Sheet1 행 9</x:v>
      </x:c>
      <x:c r="G11" s="3" t="str">
        <x:v>https://m.rc9.co.kr/product/ax7540x-pivot-balls-black-6-silver-2-black-long-2/49932/category/1147/display/1/</x:v>
      </x:c>
    </x:row>
    <x:row r="12" ht="43" customHeight="1">
      <x:c r="A12" s="3" t="str">
        <x:v>베어링 세트</x:v>
      </x:c>
      <x:c r="B12" s="10" t="n">
        <x:v>24300</x:v>
      </x:c>
      <x:c r="C12" s="12" t="n">
        <x:v>1</x:v>
      </x:c>
      <x:c r="D12" s="10" t="n">
        <x:f>B12*C12</x:f>
        <x:v>24300</x:v>
      </x:c>
      <x:c r="E12" s="3" t="str">
        <x:v>필수</x:v>
      </x:c>
      <x:c r="F12" s="3" t="str">
        <x:v>Sheet1 행 10</x:v>
      </x:c>
      <x:c r="G12" s="3" t="str">
        <x:v>https://m.rc9.co.kr/product/ax7541x-latrax-bearing-set-rally-teton/49931/category/1147/display/1/</x:v>
      </x:c>
    </x:row>
    <x:row r="13" ht="43" customHeight="1">
      <x:c r="A13" s="3" t="str">
        <x:v>스크류 세트</x:v>
      </x:c>
      <x:c r="B13" s="10" t="n">
        <x:v>6300</x:v>
      </x:c>
      <x:c r="C13" s="12" t="n">
        <x:v>1</x:v>
      </x:c>
      <x:c r="D13" s="10" t="n">
        <x:f>B13*C13</x:f>
        <x:v>6300</x:v>
      </x:c>
      <x:c r="E13" s="3" t="str">
        <x:v>필수</x:v>
      </x:c>
      <x:c r="F13" s="3" t="str">
        <x:v>Sheet1 행 11</x:v>
      </x:c>
      <x:c r="G13" s="3" t="str">
        <x:v>https://m.rc9.co.kr/product/ax7543x-latrax-teton-screw-set-teton/49929/category/1147/display/1/</x:v>
      </x:c>
    </x:row>
    <x:row r="14" ht="43" customHeight="1">
      <x:c r="A14" s="3" t="str">
        <x:v>리어 액슬 캐리어</x:v>
      </x:c>
      <x:c r="B14" s="10" t="n">
        <x:v>7650</x:v>
      </x:c>
      <x:c r="C14" s="12" t="n">
        <x:v>1</x:v>
      </x:c>
      <x:c r="D14" s="10" t="n">
        <x:f>B14*C14</x:f>
        <x:v>7650</x:v>
      </x:c>
      <x:c r="E14" s="3" t="str">
        <x:v>필수</x:v>
      </x:c>
      <x:c r="F14" s="3" t="str">
        <x:v>Sheet1 행 12</x:v>
      </x:c>
      <x:c r="G14" s="3" t="str">
        <x:v>https://m.rc9.co.kr/product/ax7552x-latrax-rear-axle-carriers-2-teton/49926/category/1147/display/1/</x:v>
      </x:c>
    </x:row>
    <x:row r="15" ht="43" customHeight="1">
      <x:c r="A15" s="3" t="str">
        <x:v>디퍼렌셜 기어 셋트</x:v>
      </x:c>
      <x:c r="B15" s="10" t="n">
        <x:v>13500</x:v>
      </x:c>
      <x:c r="C15" s="12" t="n">
        <x:v>1</x:v>
      </x:c>
      <x:c r="D15" s="10" t="n">
        <x:f>B15*C15</x:f>
        <x:v>13500</x:v>
      </x:c>
      <x:c r="E15" s="3" t="str">
        <x:v>필수</x:v>
      </x:c>
      <x:c r="F15" s="3" t="str">
        <x:v>Sheet1 행 13</x:v>
      </x:c>
      <x:c r="G15" s="3" t="str">
        <x:v>http://hobbymall.co.kr/product/product_detail.asp?product_number=168710</x:v>
      </x:c>
    </x:row>
    <x:row r="16" ht="43" customHeight="1">
      <x:c r="A16" s="3" t="str">
        <x:v>알루미늄 휠너트</x:v>
      </x:c>
      <x:c r="B16" s="10" t="n">
        <x:v>22500</x:v>
      </x:c>
      <x:c r="C16" s="12" t="n">
        <x:v>1</x:v>
      </x:c>
      <x:c r="D16" s="10" t="n">
        <x:f>B16*C16</x:f>
        <x:v>22500</x:v>
      </x:c>
      <x:c r="E16" s="3" t="str">
        <x:v>필수</x:v>
      </x:c>
      <x:c r="F16" s="3" t="str">
        <x:v>Sheet1 행 14</x:v>
      </x:c>
      <x:c r="G16" s="3" t="str">
        <x:v>https://rc9.co.kr/product/detail.html?product_no=49787&amp;cate_no=1147&amp;display_group=1</x:v>
      </x:c>
    </x:row>
    <x:row r="17" ht="43" customHeight="1">
      <x:c r="A17" s="3" t="str">
        <x:v>휠 허브 12mm hex</x:v>
      </x:c>
      <x:c r="B17" s="10" t="n">
        <x:v>4050</x:v>
      </x:c>
      <x:c r="C17" s="12" t="n">
        <x:v>1</x:v>
      </x:c>
      <x:c r="D17" s="10" t="n">
        <x:f>B17*C17</x:f>
        <x:v>4050</x:v>
      </x:c>
      <x:c r="E17" s="3" t="str">
        <x:v>필수</x:v>
      </x:c>
      <x:c r="F17" s="3" t="str">
        <x:v>Sheet1 행 15</x:v>
      </x:c>
      <x:c r="G17" s="3" t="str">
        <x:v>https://rc9.co.kr/product/detail.html?product_no=49784&amp;cate_no=1147&amp;display_group=1</x:v>
      </x:c>
    </x:row>
    <x:row r="18" ht="43" customHeight="1">
      <x:c r="A18" s="3" t="str">
        <x:v>휠 타이어 셋트</x:v>
      </x:c>
      <x:c r="B18" s="10" t="n">
        <x:v>29800</x:v>
      </x:c>
      <x:c r="C18" s="12" t="n">
        <x:v>2</x:v>
      </x:c>
      <x:c r="D18" s="10" t="n">
        <x:f>B18*C18</x:f>
        <x:v>59600</x:v>
      </x:c>
      <x:c r="E18" s="3" t="str">
        <x:v>필수</x:v>
      </x:c>
      <x:c r="F18" s="3" t="str">
        <x:v>Sheet1 행 16</x:v>
      </x:c>
      <x:c r="G18" s="3" t="str">
        <x:v>https://rc9.co.kr/product/detail.html?product_no=88689</x:v>
      </x:c>
    </x:row>
    <x:row r="19" ht="43" customHeight="1">
      <x:c r="A19" s="3" t="str">
        <x:v>쇽</x:v>
      </x:c>
      <x:c r="B19" s="10" t="n">
        <x:v>19200</x:v>
      </x:c>
      <x:c r="C19" s="12" t="n">
        <x:v>2</x:v>
      </x:c>
      <x:c r="D19" s="10" t="n">
        <x:f>B19*C19</x:f>
        <x:v>38400</x:v>
      </x:c>
      <x:c r="E19" s="3" t="str">
        <x:v>선택</x:v>
      </x:c>
      <x:c r="F19" s="3" t="str">
        <x:v>Sheet1 행 20</x:v>
      </x:c>
      <x:c r="G19" s="3" t="str">
        <x:v>https://rc9.co.kr/product/detail.html?product_no=84748&amp;cate_no=1147&amp;display_group=1</x:v>
      </x:c>
    </x:row>
    <x:row r="20" ht="43" customHeight="1">
      <x:c r="A20" s="3" t="str">
        <x:v>디퍼렌셜 하우징</x:v>
      </x:c>
      <x:c r="B20" s="10" t="n">
        <x:v>9000</x:v>
      </x:c>
      <x:c r="C20" s="12" t="n">
        <x:v>1</x:v>
      </x:c>
      <x:c r="D20" s="10" t="n">
        <x:f>B20*C20</x:f>
        <x:v>9000</x:v>
      </x:c>
      <x:c r="E20" s="3" t="str">
        <x:v>선택</x:v>
      </x:c>
      <x:c r="F20" s="3" t="str">
        <x:v>Sheet1 행 21</x:v>
      </x:c>
      <x:c r="G20" s="3" t="str">
        <x:v>https://rc9.co.kr/product/detail.html?product_no=49943&amp;cate_no=1147&amp;display_group=1</x:v>
      </x:c>
    </x:row>
    <x:row r="21" ht="34" customHeight="1">
      <x:c r="A21" s="3"/>
      <x:c r="B21" s="10"/>
      <x:c r="C21" s="10"/>
      <x:c r="D21" s="10"/>
      <x:c r="E21" s="3"/>
      <x:c r="F21" s="3"/>
      <x:c r="G21" s="3"/>
    </x:row>
    <x:row r="22" ht="34" customHeight="1">
      <x:c r="A22" s="3" t="str">
        <x:v>필수 부품 합계</x:v>
      </x:c>
      <x:c r="B22" s="10"/>
      <x:c r="C22" s="10"/>
      <x:c r="D22" s="10" t="n">
        <x:f>SUM(D5:D18)</x:f>
        <x:v>221150</x:v>
      </x:c>
      <x:c r="E22" s="3"/>
      <x:c r="F22" s="3"/>
      <x:c r="G22" s="3"/>
    </x:row>
    <x:row r="23" ht="34" customHeight="1">
      <x:c r="A23" s="3" t="str">
        <x:v>선택 부품 합계</x:v>
      </x:c>
      <x:c r="B23" s="10"/>
      <x:c r="C23" s="10"/>
      <x:c r="D23" s="10" t="n">
        <x:f>SUM(D19:D20)</x:f>
        <x:v>47400</x:v>
      </x:c>
      <x:c r="E23" s="3"/>
      <x:c r="F23" s="3"/>
      <x:c r="G23" s="3"/>
    </x:row>
    <x:row r="24" ht="34" customHeight="1">
      <x:c r="A24" s="3" t="str">
        <x:v>선택 포함 합계</x:v>
      </x:c>
      <x:c r="B24" s="10"/>
      <x:c r="C24" s="10"/>
      <x:c r="D24" s="10" t="n">
        <x:f>SUM(D22:D23)</x:f>
        <x:v>268550</x:v>
      </x:c>
      <x:c r="E24" s="3"/>
      <x:c r="F24" s="3"/>
      <x:c r="G24" s="3"/>
    </x:row>
    <x:row r="25" ht="34" customHeight="1">
      <x:c r="A25" s="3"/>
      <x:c r="B25" s="10"/>
      <x:c r="C25" s="10"/>
      <x:c r="D25" s="10"/>
      <x:c r="E25" s="3"/>
      <x:c r="F25" s="3"/>
      <x:c r="G25" s="3"/>
    </x:row>
    <x:row r="26" ht="62" customHeight="1">
      <x:c r="A26" s="3" t="str">
        <x:v>모터 가격 가정</x:v>
      </x:c>
      <x:c r="B26" s="11" t="n">
        <x:v>100000</x:v>
      </x:c>
      <x:c r="C26" s="10" t="str">
        <x:v>사용자 추정</x:v>
      </x:c>
      <x:c r="D26" s="10"/>
      <x:c r="E26" s="3" t="str">
        <x:v>미견적 항목</x:v>
      </x:c>
      <x:c r="F26" s="3"/>
      <x:c r="G26" s="3" t="str">
        <x:v>모터·ESC·엔코더·제어보드·본체 제작재료·통신·전원 부속·비상정지 구현비의 누락/지원 여부 확인</x:v>
      </x:c>
    </x:row>
    <x:row r="27" ht="62" customHeight="1">
      <x:c r="A27" s="3" t="str">
        <x:v>필수 + 모터 가정</x:v>
      </x:c>
      <x:c r="B27" s="10" t="n">
        <x:f>D22+B26</x:f>
        <x:v>321150</x:v>
      </x:c>
      <x:c r="C27" s="10"/>
      <x:c r="D27" s="10"/>
      <x:c r="E27" s="3" t="str">
        <x:v>비교용 하드웨어 가정</x:v>
      </x:c>
      <x:c r="F27" s="11" t="n">
        <x:v>350000</x:v>
      </x:c>
      <x:c r="G27" s="3" t="str">
        <x:v>낮은 비교값. 실제 확정 견적 아님.</x:v>
      </x:c>
    </x:row>
    <x:row r="28" ht="62" customHeight="1">
      <x:c r="A28" s="3" t="str">
        <x:v>선택 포함 + 모터 가정</x:v>
      </x:c>
      <x:c r="B28" s="10" t="n">
        <x:f>D24+B26</x:f>
        <x:v>368550</x:v>
      </x:c>
      <x:c r="C28" s="10"/>
      <x:c r="D28" s="10"/>
      <x:c r="E28" s="3" t="str">
        <x:v>비교용 하드웨어 가정</x:v>
      </x:c>
      <x:c r="F28" s="11" t="n">
        <x:v>400000</x:v>
      </x:c>
      <x:c r="G28" s="3" t="str">
        <x:v>높은 비교값. 비용 상한/완성차 보장 아님.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35" hidden="0" customWidth="1"/>
    <x:col min="3" max="3" width="58.75" hidden="0" customWidth="1"/>
    <x:col min="4" max="4" width="46.880001068115234" hidden="0" customWidth="1"/>
  </x:cols>
  <x:sheetData>
    <x:row r="1" ht="34" customHeight="1">
      <x:c r="A1" s="5" t="str">
        <x:v>예산 조건별 협의안</x:v>
      </x:c>
      <x:c r="B1" s="3"/>
      <x:c r="C1" s="3"/>
      <x:c r="D1" s="3"/>
    </x:row>
    <x:row r="2" ht="34" customHeight="1">
      <x:c r="A2" s="7" t="str">
        <x:v>2026-09-05 사용자 메시지·첨부 Discord 캡처와 현재 공식 문서를 구분했습니다.</x:v>
      </x:c>
      <x:c r="B2" s="3"/>
      <x:c r="C2" s="3"/>
      <x:c r="D2" s="3"/>
    </x:row>
    <x:row r="3" ht="34" customHeight="1">
      <x:c r="A3" s="3"/>
      <x:c r="B3" s="3"/>
      <x:c r="C3" s="3"/>
      <x:c r="D3" s="3"/>
    </x:row>
    <x:row r="4" ht="38" customHeight="1">
      <x:c r="A4" s="9" t="str">
        <x:v>조건</x:v>
      </x:c>
      <x:c r="B4" s="9" t="str">
        <x:v>대응 후보</x:v>
      </x:c>
      <x:c r="C4" s="9" t="str">
        <x:v>판단</x:v>
      </x:c>
      <x:c r="D4" s="9" t="str">
        <x:v>협의할 사항</x:v>
      </x:c>
    </x:row>
    <x:row r="5" ht="96" customHeight="1">
      <x:c r="A5" s="3" t="str">
        <x:v>총 30만 / 보유 불가</x:v>
      </x:c>
      <x:c r="B5" s="3" t="str">
        <x:v>완성차 견적 성립 보류</x:v>
      </x:c>
      <x:c r="C5" s="3" t="str">
        <x:v>필수 차체 221,150원 + 모터 10만 가정 = 321,150원. 센서 이전에 초과. 현재 설계 기준 증액 또는 부품 재설계 필요.</x:v>
      </x:c>
      <x:c r="D5" s="3" t="str">
        <x:v>제작 방식 전체가 불가능하다는 주장 대신 현 부품안의 부족액을 제시.</x:v>
      </x:c>
    </x:row>
    <x:row r="6" ht="96" customHeight="1">
      <x:c r="A6" s="3" t="str">
        <x:v>지원 30만 / 보유 허용</x:v>
      </x:c>
      <x:c r="B6" s="3" t="str">
        <x:v>A 또는 B를 조건부 센서 후보로</x:v>
      </x:c>
      <x:c r="C6" s="3" t="str">
        <x:v>D435i만 보유해도 모터·ESC 비용은 남습니다. 차체 20만+ToF10만은 첨부 합계와 맞지 않습니다.</x:v>
      </x:c>
      <x:c r="D6" s="3" t="str">
        <x:v>보유 구동부도 가능한지, ToF 신품 예산을 얼마 남길지 확인.</x:v>
      </x:c>
    </x:row>
    <x:row r="7" ht="96" customHeight="1">
      <x:c r="A7" s="3" t="str">
        <x:v>총 60만 / 보유 허용</x:v>
      </x:c>
      <x:c r="B7" s="3" t="str">
        <x:v>B: 보유 D435i + ToF4</x:v>
      </x:c>
      <x:c r="C7" s="3" t="str">
        <x:v>센서 140,800원 + 하드웨어35~40만 = 490,800~540,800원. 부자재·MCU·배송·여유 제외.</x:v>
      </x:c>
      <x:c r="D7" s="3" t="str">
        <x:v>보유 D435i의 사용 허용과 금액 산정 제외를 구분.</x:v>
      </x:c>
    </x:row>
    <x:row r="8" ht="96" customHeight="1">
      <x:c r="A8" s="3" t="str">
        <x:v>총 60만 / 보유 불가</x:v>
      </x:c>
      <x:c r="B8" s="3" t="str">
        <x:v>L1v: C1+OV2710+ToF2</x:v>
      </x:c>
      <x:c r="C8" s="3" t="str">
        <x:v>센서232,760원 + 차체35~40만 =582,760~632,760원. 국내 카메라 VAT 포함 단가. 차체비에 따라 총60만 초과.</x:v>
      </x:c>
      <x:c r="D8" s="3" t="str">
        <x:v>OV2710의 720p60fps 프로필은 확인 필요. B0385는 품절 비교안. 신규 스테레오+ToF2는455,301원부터.</x:v>
      </x:c>
    </x:row>
    <x:row r="9" ht="96" customHeight="1">
      <x:c r="A9" s="3" t="str">
        <x:v>총 90만 / 보유 불가</x:v>
      </x:c>
      <x:c r="B9" s="3" t="str">
        <x:v>S1 또는 S2: OAK-D Lite FF</x:v>
      </x:c>
      <x:c r="C9" s="3" t="str">
        <x:v>ToF2는805,301~855,301원, ToF4는875,701~925,701원. 총90만은 하드웨어 실제금액에 따라 판단.</x:v>
      </x:c>
      <x:c r="D9" s="3" t="str">
        <x:v>Gemini335+ToF4는996,800~1,046,800원. 임의 여유비 제거 후 비교값.</x:v>
      </x:c>
    </x:row>
    <x:row r="10" ht="96" customHeight="1">
      <x:c r="A10" s="3" t="str">
        <x:v>지원 30만 + 자체 최대100만</x:v>
      </x:c>
      <x:c r="B10" s="3" t="str">
        <x:v>S5: D436+ToF4 / L3 비교</x:v>
      </x:c>
      <x:c r="C10" s="3" t="str">
        <x:v>D436+ToF4는1,087,800~1,137,800원. S3+B0385+ToF2는1,255,960~1,305,960원.</x:v>
      </x:c>
      <x:c r="D10" s="3" t="str">
        <x:v>D436 세금 여부·B0385 품절·공통 전자부품 비용 확인. H는1,222,000~1,272,000원.</x:v>
      </x:c>
    </x:row>
    <x:row r="11" ht="34" customHeight="1">
      <x:c r="A11" s="3"/>
      <x:c r="B11" s="3"/>
      <x:c r="C11" s="3"/>
      <x:c r="D11" s="3"/>
    </x:row>
    <x:row r="12" ht="94" customHeight="1">
      <x:c r="A12" s="3" t="str">
        <x:v>지원 30만원</x:v>
      </x:c>
      <x:c r="B12" s="3" t="str">
        <x:v>이번 계산의 전제</x:v>
      </x:c>
      <x:c r="C12" s="3" t="str">
        <x:v>공식 매뉴얼은 25~30만원, 첨부 9/5 메시지는 30만원 주문목록 요청. 새 전체 상한이 확정됐다는 근거는 아님.</x:v>
      </x:c>
      <x:c r="D12" s="3" t="str">
        <x:v>https://github.com/MOSW626/istech-it-arena/blob/main/MANUAL.md</x:v>
      </x:c>
    </x:row>
    <x:row r="13" ht="94" customHeight="1">
      <x:c r="A13" s="3" t="str">
        <x:v>추가 예산 상태</x:v>
      </x:c>
      <x:c r="B13" s="3" t="str">
        <x:v>공식 댓글 재조회</x:v>
      </x:c>
      <x:c r="C13" s="3" t="str">
        <x:v>9/2 운영진 댓글 외 새로운 합의 댓글을 확인하지 못함. 보유·대여·협찬 평가, 자체 예산 및 상한 범위는 협의 대상.</x:v>
      </x:c>
      <x:c r="D13" s="3" t="str">
        <x:v>https://github.com/MOSW626/istech-it-arena/issues/14#issuecomment-5506542288</x:v>
      </x:c>
    </x:row>
    <x:row r="14" ht="94" customHeight="1">
      <x:c r="A14" s="3" t="str">
        <x:v>공정성 선택지</x:v>
      </x:c>
      <x:c r="B14" s="3" t="str">
        <x:v>보유 금지 / 기준가 산정</x:v>
      </x:c>
      <x:c r="C14" s="3" t="str">
        <x:v>보유품 금지만이 편법 방지의 유일한 수단은 아님. 구매 시점과 무관하게 탑재품의 동일 기준가를 산정하는 안도 비교 가능.</x:v>
      </x:c>
      <x:c r="D14" s="3" t="str">
        <x:v>새 제안이며 공식 확정 규정 아님. 실지출·기준가·규정 산정가를 구분.</x:v>
      </x:c>
    </x:row>
    <x:row r="15" ht="94" customHeight="1">
      <x:c r="A15" s="3" t="str">
        <x:v>20 Hz와 30 FPS</x:v>
      </x:c>
      <x:c r="B15" s="3" t="str">
        <x:v>시간 간격에 따른 이동만 비교</x:v>
      </x:c>
      <x:c r="C15" s="3" t="str">
        <x:v>20 km/h에서 10 Hz 약55.6cm, 20 Hz 약27.8cm, 30 FPS 약18.5cm, 60 FPS 약9.3cm. 센서/처리 지연·제동거리·결측은 별도.</x:v>
      </x:c>
      <x:c r="D15" s="3" t="str">
        <x:v>S3 기본10Hz를20Hz로 설정·검증해야 함. 카메라는 선택 깊이 프로필의 실제 출력으로 비교.</x:v>
      </x:c>
    </x:row>
    <x:row r="16" ht="94" customHeight="1">
      <x:c r="A16" s="3" t="str">
        <x:v>스테레오의 교환조건</x:v>
      </x:c>
      <x:c r="B16" s="3" t="str">
        <x:v>OAK / Gemini / D436</x:v>
      </x:c>
      <x:c r="C16" s="3" t="str">
        <x:v>OAK는 수동 스테레오의 무늬 부족·조명 영향과 DepthAI 통합, Gemini는 Orbbec 통합, D436은 실제 RGB-D 정렬·Jetson 지연 검증 필요.</x:v>
      </x:c>
      <x:c r="D16" s="3" t="str">
        <x:v>https://docs.luxonis.com/hardware/platform/features/depth</x:v>
      </x:c>
    </x:row>
    <x:row r="17" ht="94" customHeight="1">
      <x:c r="A17" s="3" t="str">
        <x:v>LiDAR의 교환조건</x:v>
      </x:c>
      <x:c r="B17" s="3" t="str">
        <x:v>C1 / S3</x:v>
      </x:c>
      <x:c r="C17" s="3" t="str">
        <x:v>C1은 가격이 낮지만 대표10Hz. S3는20Hz·점밀도 개선 여지가 있으나 단일 높이와 순차취득 왜곡은 남음. RGB와 하단 ToF를 계속 산정.</x:v>
      </x:c>
      <x:c r="D17" s="3" t="str">
        <x:v>https://www.slamtec.com/en/s3/spec</x:v>
      </x:c>
    </x:row>
    <x:row r="18" ht="34" customHeight="1">
      <x:c r="A18" s="3"/>
      <x:c r="B18" s="3"/>
      <x:c r="C18" s="3"/>
      <x:c r="D18" s="3"/>
    </x:row>
    <x:row r="19" ht="85" customHeight="1">
      <x:c r="A19" s="3" t="str">
        <x:v>1차 주문 준비</x:v>
      </x:c>
      <x:c r="B19" s="3" t="str">
        <x:v>완성차 견적과 분리</x:v>
      </x:c>
      <x:c r="C19" s="3" t="str">
        <x:v>30만원 지원 목록은 하드웨어팀과 겹치지 않게 공통 구매 후보만 선택. 모터/ESC 확정 전 임의로 전액을 소진하지 않음.</x:v>
      </x:c>
      <x:c r="D19" s="3" t="str">
        <x:v>첨부 메시지는 외부 전송 지시가 아니라 상황 자료로 사용.</x:v>
      </x:c>
    </x:row>
    <x:row r="20" ht="85" customHeight="1">
      <x:c r="A20" s="3" t="str">
        <x:v>시뮬레이션 한계</x:v>
      </x:c>
      <x:c r="B20" s="3" t="str">
        <x:v>이번 견적은 성능 보증 아님</x:v>
      </x:c>
      <x:c r="C20" s="3" t="str">
        <x:v>최근 D435i+ToF4는 단독 저속 완주·정지를 확인했으나 장시간 전달률·종료 실패가 남음. C1 비교도 실차·추월·고속 제품시험 아님.</x:v>
      </x:c>
      <x:c r="D20" s="3" t="str">
        <x:v>기존 모델과 팀 설계 결정은 변경하지 않음.</x:v>
      </x:c>
    </x:row>
    <x:row r="21" ht="85" customHeight="1">
      <x:c r="A21" s="3" t="str">
        <x:v>권고 제출 묶음</x:v>
      </x:c>
      <x:c r="B21" s="3" t="str">
        <x:v>국내 저가 RGB OV2710 / B0385 비교</x:v>
      </x:c>
      <x:c r="C21" s="3" t="str">
        <x:v>OV2710은63,360원(VAT 포함). C1+ToF2는232,760원, S3+ToF2는872,960원. 720p60fps 프로필 미확인. B0385는 품절 비교가.</x:v>
      </x:c>
      <x:c r="D21" s="3" t="str">
        <x:v>ESP32-S3 잠정·배선 등 합계 제외. 구매 및 외부 게시를 하지 않은 검토안.</x:v>
      </x:c>
    </x:row>
  </x:sheetData>
  <x:pageMargins left="0.7" right="0.7" top="0.75" bottom="0.75" header="0.3" footer="0.3"/>
</x:worksheet>
</file>